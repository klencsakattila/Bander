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lencsak.attila.BOLYAI\downloads\"/>
    </mc:Choice>
  </mc:AlternateContent>
  <xr:revisionPtr revIDLastSave="0" documentId="13_ncr:1_{3D737240-4A6F-41D6-91B6-247F32C5969A}" xr6:coauthVersionLast="36" xr6:coauthVersionMax="36" xr10:uidLastSave="{00000000-0000-0000-0000-000000000000}"/>
  <bookViews>
    <workbookView xWindow="0" yWindow="0" windowWidth="21570" windowHeight="7980" tabRatio="500" activeTab="1" xr2:uid="{00000000-000D-0000-FFFF-FFFF00000000}"/>
  </bookViews>
  <sheets>
    <sheet name="Attekintes" sheetId="1" r:id="rId1"/>
    <sheet name="Tesztesetek" sheetId="2" r:id="rId2"/>
    <sheet name="UI_ellenorzes" sheetId="3" r:id="rId3"/>
    <sheet name="Jogosultsagok" sheetId="4" r:id="rId4"/>
    <sheet name="Funkcio_matrix" sheetId="5" r:id="rId5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5" l="1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B15" i="1"/>
  <c r="B14" i="1"/>
  <c r="B13" i="1"/>
  <c r="B12" i="1"/>
  <c r="B11" i="1"/>
  <c r="B10" i="1"/>
  <c r="B9" i="1"/>
  <c r="B8" i="1"/>
</calcChain>
</file>

<file path=xl/sharedStrings.xml><?xml version="1.0" encoding="utf-8"?>
<sst xmlns="http://schemas.openxmlformats.org/spreadsheetml/2006/main" count="1263" uniqueCount="587">
  <si>
    <t>Bander - Frontend manuális, E2E teszt dokumentáció</t>
  </si>
  <si>
    <t>Projekt</t>
  </si>
  <si>
    <t>Bander</t>
  </si>
  <si>
    <t>Dokumentum típusa</t>
  </si>
  <si>
    <t>Frontend manuális, E2E tesztesetek</t>
  </si>
  <si>
    <t>Hatókör</t>
  </si>
  <si>
    <t>Csak frontend képernyők és UI folyamatok</t>
  </si>
  <si>
    <t>Összesítés</t>
  </si>
  <si>
    <t>Modulok</t>
  </si>
  <si>
    <t>Összes teszteset</t>
  </si>
  <si>
    <t>Nyitóoldal</t>
  </si>
  <si>
    <t>Publikus landing oldal, előnézeti listák, CTA-k</t>
  </si>
  <si>
    <t>Magas prioritás</t>
  </si>
  <si>
    <t>Bejelentkezés</t>
  </si>
  <si>
    <t>Login űrlap és navigáció</t>
  </si>
  <si>
    <t>Közepes prioritás</t>
  </si>
  <si>
    <t>Regisztráció</t>
  </si>
  <si>
    <t>Sign up űrlap és validáció</t>
  </si>
  <si>
    <t>Alacsony prioritás</t>
  </si>
  <si>
    <t>Artist kereső</t>
  </si>
  <si>
    <t>Artist lista, kereső és szűrők</t>
  </si>
  <si>
    <t>Validációs tesztek</t>
  </si>
  <si>
    <t>Artist profil</t>
  </si>
  <si>
    <t>Artist részletes oldal, üzenetküldés, referral linkek</t>
  </si>
  <si>
    <t>Navigációs tesztek</t>
  </si>
  <si>
    <t>Artist profil szerkesztés</t>
  </si>
  <si>
    <t>Saját artist profil adatainak módosítása</t>
  </si>
  <si>
    <t>UI checklist elemek</t>
  </si>
  <si>
    <t>Üzenetek</t>
  </si>
  <si>
    <t>Chat/beszélgetés nézet</t>
  </si>
  <si>
    <t>Jogosultsági esetek</t>
  </si>
  <si>
    <t>Band kereső</t>
  </si>
  <si>
    <t>Band lista, kereső és szűrők</t>
  </si>
  <si>
    <t>Band profil</t>
  </si>
  <si>
    <t>Band részletes oldal, application űrlap, események, tagok</t>
  </si>
  <si>
    <t>Band kezelő oldal</t>
  </si>
  <si>
    <t>Band adatok és új esemény létrehozása</t>
  </si>
  <si>
    <t>About</t>
  </si>
  <si>
    <t>Projekt leírás és ÁSZF letöltés</t>
  </si>
  <si>
    <t>Admin</t>
  </si>
  <si>
    <t>Report dashboard és moderációs műveletek</t>
  </si>
  <si>
    <t>Globális navigáció</t>
  </si>
  <si>
    <t>Fejléc, állapotfüggő menüelemek</t>
  </si>
  <si>
    <t>TC_ID</t>
  </si>
  <si>
    <t>Modul</t>
  </si>
  <si>
    <t>Oldal/Funkció</t>
  </si>
  <si>
    <t>Teszt típusa</t>
  </si>
  <si>
    <t>Előfeltétel</t>
  </si>
  <si>
    <t>Tesztlépések</t>
  </si>
  <si>
    <t>Elvárt eredmény</t>
  </si>
  <si>
    <t>Prioritás</t>
  </si>
  <si>
    <t>E2E</t>
  </si>
  <si>
    <t>Manuális</t>
  </si>
  <si>
    <t>Megjegyzés</t>
  </si>
  <si>
    <t>Jelmagyarázat</t>
  </si>
  <si>
    <t>TC-FE-001</t>
  </si>
  <si>
    <t>Publikus kezdőlap</t>
  </si>
  <si>
    <t>Funkcionális</t>
  </si>
  <si>
    <t>Publikus felhasználó</t>
  </si>
  <si>
    <t>Nyisd meg a kezdőlapot.</t>
  </si>
  <si>
    <t>A Bander nyitóoldal betölt, a főcím, rövid leírás és a fő CTA látható.</t>
  </si>
  <si>
    <t>Magas</t>
  </si>
  <si>
    <t>Sikeres</t>
  </si>
  <si>
    <t>Alap működési ellenőrzés</t>
  </si>
  <si>
    <t>TC-FE-002</t>
  </si>
  <si>
    <t>Felső navigáció</t>
  </si>
  <si>
    <t>UI/Navigáció</t>
  </si>
  <si>
    <t>Ellenőrizd a fejlécet.</t>
  </si>
  <si>
    <t>A Bands / Artists / Events / Log in menüpontok megjelennek és kattinthatók.</t>
  </si>
  <si>
    <t>Validáció</t>
  </si>
  <si>
    <t>Űrlap és input ellenőrzés</t>
  </si>
  <si>
    <t>TC-FE-003</t>
  </si>
  <si>
    <t>Új előadók blokk</t>
  </si>
  <si>
    <t>Görgess az 'New Artists' szekcióhoz.</t>
  </si>
  <si>
    <t>Legalább több artist kártya jelenik meg névvel és rövid leírással az artists-grid-ben.</t>
  </si>
  <si>
    <t>Közepes</t>
  </si>
  <si>
    <t>Navigáció</t>
  </si>
  <si>
    <t>Oldalak közötti átmenet</t>
  </si>
  <si>
    <t>TC-FE-004</t>
  </si>
  <si>
    <t>Bandák előnézete</t>
  </si>
  <si>
    <t>Ellenőrizd a Bands szekciót.</t>
  </si>
  <si>
    <t>A band kártyák megjelennek névvel és keresett szereppel/leírással.</t>
  </si>
  <si>
    <t>UI</t>
  </si>
  <si>
    <t>Megjelenés, layout, olvashatóság</t>
  </si>
  <si>
    <t>TC-FE-005</t>
  </si>
  <si>
    <t>Események előnézete</t>
  </si>
  <si>
    <t>Ellenőrizd az Upcoming events blokkot.</t>
  </si>
  <si>
    <t>Az eseménykártyák megjelennek zenekarnévvel, eseménynévvel, dátummal és 'See more' linkkel.</t>
  </si>
  <si>
    <t>TC-FE-006</t>
  </si>
  <si>
    <t>CTA a teljes funkciókhoz</t>
  </si>
  <si>
    <t>Görgess a 'For all features' részhez.</t>
  </si>
  <si>
    <t>A Log in és Sign up CTA gombok láthatók és egyértelműek.</t>
  </si>
  <si>
    <t>TC-FE-007</t>
  </si>
  <si>
    <t>Login oldal betöltése</t>
  </si>
  <si>
    <t>Nyisd meg a Log in oldalt.</t>
  </si>
  <si>
    <t>Az email és password mező, a Log in gomb, az 'or' elválasztó és a Get started CTA látható.</t>
  </si>
  <si>
    <t>TC-FE-008</t>
  </si>
  <si>
    <t>Kötelező mezők ellenőrzése</t>
  </si>
  <si>
    <t>Hagyd üresen az űrlapot és küldd el.</t>
  </si>
  <si>
    <t>A frontend jelzi, hogy az email és a jelszó kötelező.</t>
  </si>
  <si>
    <t>TC-FE-009</t>
  </si>
  <si>
    <t>Hibás hitelesítő adatok kezelése</t>
  </si>
  <si>
    <t>Adj meg hibás email/jelszó párost és kattints a Log in gombra.</t>
  </si>
  <si>
    <t>Felhasználóbarát hibaüzenet jelenik meg, az oldal nem omlik össze.</t>
  </si>
  <si>
    <t>TC-FE-010</t>
  </si>
  <si>
    <t>Sikeres bejelentkezés UI folyamata</t>
  </si>
  <si>
    <t>Érvényes felhasználó</t>
  </si>
  <si>
    <t>Adj meg érvényes adatokat és jelentkezz be.</t>
  </si>
  <si>
    <t>A felhasználó bejelentkezett állapotba kerül, és a fejléc / oldal tartalma ennek megfelelően változik.</t>
  </si>
  <si>
    <t>TC-FE-011</t>
  </si>
  <si>
    <t>Get started navigáció</t>
  </si>
  <si>
    <t>Kattints a Get started elemre.</t>
  </si>
  <si>
    <t>A rendszer a regisztrációs oldalra vagy a regisztrációs folyamatra visz.</t>
  </si>
  <si>
    <t>TC-FE-012</t>
  </si>
  <si>
    <t>Sign up oldal betöltése</t>
  </si>
  <si>
    <t>Nyisd meg a Sign up oldalt.</t>
  </si>
  <si>
    <t>Az email, jelszó, jelszó megerősítés mezők és a Sign Up gomb megjelennek.</t>
  </si>
  <si>
    <t>TC-FE-013</t>
  </si>
  <si>
    <t>Hagyd üresen a mezőket és küldd el az űrlapot.</t>
  </si>
  <si>
    <t>A frontend kiemeli a kötelező mezőket.</t>
  </si>
  <si>
    <t>TC-FE-014</t>
  </si>
  <si>
    <t>Jelszó megerősítés egyezése</t>
  </si>
  <si>
    <t>Adj meg eltérő jelszavakat.</t>
  </si>
  <si>
    <t>A rendszer jelzi, hogy a két jelszó nem egyezik.</t>
  </si>
  <si>
    <t>TC-FE-015</t>
  </si>
  <si>
    <t>Sikeres regisztráció UI folyamata</t>
  </si>
  <si>
    <t>Új email cím</t>
  </si>
  <si>
    <t>Töltsd ki helyesen az űrlapot és küldd el.</t>
  </si>
  <si>
    <t>Sikeres visszajelzés vagy továbblépés jelenik meg, a felhasználó a következő logikus oldalra jut.</t>
  </si>
  <si>
    <t>TC-FE-016</t>
  </si>
  <si>
    <t>Artists lista betöltése</t>
  </si>
  <si>
    <t>Bejelentkezett felhasználó</t>
  </si>
  <si>
    <t>Jelentkezz be, majd nyisd meg az /artists oldalt.</t>
  </si>
  <si>
    <t>Az artist-grid megjelenik legalább 1 artist-card-dal.</t>
  </si>
  <si>
    <t>TC-FE-017</t>
  </si>
  <si>
    <t>Szöveges kereső működése</t>
  </si>
  <si>
    <t>Bejelentkezett felhasználó, Artist lista betöltve</t>
  </si>
  <si>
    <t>Írj be kulcsszót az .artist-search input mezőbe.</t>
  </si>
  <si>
    <t>A lista szűkül a keresési feltételnek megfelelő találatokra.</t>
  </si>
  <si>
    <t>TC-FE-018</t>
  </si>
  <si>
    <t>Szűrés város alapján</t>
  </si>
  <si>
    <t>Válassz ki egy várost az .artist-filters első select eleméből.</t>
  </si>
  <si>
    <t>Csak a kiválasztott városnak megfelelő találatok maradnak a listában.</t>
  </si>
  <si>
    <t>TC-FE-019</t>
  </si>
  <si>
    <t>Szűrés hangszer alapján</t>
  </si>
  <si>
    <t>Válassz hangszert az .artist-filters második select eleméből.</t>
  </si>
  <si>
    <t>Csak a kiválasztott hangszerhez illő artistok láthatók.</t>
  </si>
  <si>
    <t>TC-FE-020</t>
  </si>
  <si>
    <t>Szűrés műfaj alapján</t>
  </si>
  <si>
    <t>Válassz műfajt az .artist-filters harmadik select eleméből.</t>
  </si>
  <si>
    <t>A találati lista a kiválasztott műfajhoz igazodik.</t>
  </si>
  <si>
    <t>TC-FE-021</t>
  </si>
  <si>
    <t>Több szűrő kombinálása</t>
  </si>
  <si>
    <t>Állíts be egyszerre város, hangszer és műfaj szűrőt.</t>
  </si>
  <si>
    <t>A lista csak a minden feltételnek megfelelő találatokat mutatja.</t>
  </si>
  <si>
    <t>TC-FE-022</t>
  </si>
  <si>
    <t>Üres találati állapot</t>
  </si>
  <si>
    <t>UI/Funkcionális</t>
  </si>
  <si>
    <t>Írj be nem létező keresőszót (pl. 'xyznonexistent12345').</t>
  </si>
  <si>
    <t>Nincs artist-card a listában (0 találat).</t>
  </si>
  <si>
    <t>TC-FE-023</t>
  </si>
  <si>
    <t>Artist kártya navigáció</t>
  </si>
  <si>
    <t>Kattints az .artist-grid első a.artist-card linkjére.</t>
  </si>
  <si>
    <t>Az URL /artist/:id formátumú lesz.</t>
  </si>
  <si>
    <t>TC-FE-024</t>
  </si>
  <si>
    <t>Artist adatlap megjelenítése</t>
  </si>
  <si>
    <t>Bejelentkezett felhasználó, Artist részletes oldal megnyitva</t>
  </si>
  <si>
    <t>Ellenőrizd az .artist-profile-left .artist-card tartalmát.</t>
  </si>
  <si>
    <t>A profilkép (img.artist-avatar), Instrument és City felirat látható.</t>
  </si>
  <si>
    <t>TC-FE-025</t>
  </si>
  <si>
    <t>Hosszú leírás megjelenítése</t>
  </si>
  <si>
    <t>Ellenőrizd a Description blokkot hosszabb tartalommal.</t>
  </si>
  <si>
    <t>A hosszú leírás olvasható, nem csúszik rá más elemre.</t>
  </si>
  <si>
    <t>TC-FE-026</t>
  </si>
  <si>
    <t>Send a message CTA</t>
  </si>
  <si>
    <t>Kattints a 'Send a message' gombra (button elem).</t>
  </si>
  <si>
    <t>Az URL /message/:id formátumú lesz.</t>
  </si>
  <si>
    <t>TC-FE-027</t>
  </si>
  <si>
    <t>Referral linkek megjelenése</t>
  </si>
  <si>
    <t>Ellenőrizd a Referral links szekciót.</t>
  </si>
  <si>
    <t>A .social-icons div megjelenik SVG ikonokkal (Spotify, Instagram, Facebook, YouTube).</t>
  </si>
  <si>
    <t>TC-FE-028</t>
  </si>
  <si>
    <t>Szerkesztő űrlap előtöltése</t>
  </si>
  <si>
    <t>Bejelentkezett felhasználó saját profilján</t>
  </si>
  <si>
    <t>Kattints az 'My account' gombra (a.nav-btn-outline) a navbar-ben, majd ellenőrizd a .form-grid-et.</t>
  </si>
  <si>
    <t>A .form-grid .form-group elemek megjelennek az aktuális adatokkal előtöltve.</t>
  </si>
  <si>
    <t>TC-FE-029</t>
  </si>
  <si>
    <t>Kötelező mezők validációja</t>
  </si>
  <si>
    <t>Szerkesztő űrlap megnyitva</t>
  </si>
  <si>
    <t>Töröld a Name (first_name) mező tartalmát és kattints a .save-btn gombra.</t>
  </si>
  <si>
    <t>A frontend validációs hibaüzenetet mutat a hiányzó mezőknél.</t>
  </si>
  <si>
    <t>TC-FE-030</t>
  </si>
  <si>
    <t>Email formátum ellenőrzése</t>
  </si>
  <si>
    <t>Az email mezőbe (5. form-group, input[type=email]) írj hibás formátumot és kattints a .save-btn-re.</t>
  </si>
  <si>
    <t>A rendszer nem engedi menteni az érvénytelen email címet.</t>
  </si>
  <si>
    <t>TC-FE-031</t>
  </si>
  <si>
    <t>Mentés sikeres állapota</t>
  </si>
  <si>
    <t>Érvényes módosítások</t>
  </si>
  <si>
    <t>Módosítsd a first_name mezőt és kattints a .save-btn gombra.</t>
  </si>
  <si>
    <t>Zöld színű sikeres visszajelzés (p[style*=green]) jelenik meg.</t>
  </si>
  <si>
    <t>TC-FE-032</t>
  </si>
  <si>
    <t>Üzenetnézet betöltése</t>
  </si>
  <si>
    <t>Navigálj egy artist profilra, kattints a 'Send a message' gombra.</t>
  </si>
  <si>
    <t>A .messages-page, .messages-header, .messages-list és .message-input elemek megjelennek.</t>
  </si>
  <si>
    <t>TC-FE-033</t>
  </si>
  <si>
    <t>Üzenet küldése</t>
  </si>
  <si>
    <t>Beszélgetés megnyitva</t>
  </si>
  <si>
    <t>Írj üzenetet a .message-input input mezőbe és nyomd meg a Send gombot.</t>
  </si>
  <si>
    <t>Az új üzenet megjelenik a .messages-list-ben mint .message-bubble.</t>
  </si>
  <si>
    <t>Alacsony</t>
  </si>
  <si>
    <t>TC-FE-034</t>
  </si>
  <si>
    <t>Bands lista betöltése</t>
  </si>
  <si>
    <t>Jelentkezz be, majd kattints a navbar 'Bands' linkjére.</t>
  </si>
  <si>
    <t>A .band-grid megjelenik legalább 1 .band-card-dal.</t>
  </si>
  <si>
    <t>TC-FE-035</t>
  </si>
  <si>
    <t>Bejelentkezett felhasználó, Band lista betöltve</t>
  </si>
  <si>
    <t>Válassz várost a .band-filters select eleméből.</t>
  </si>
  <si>
    <t>Csak a városnak megfelelő bandák maradnak a listában.</t>
  </si>
  <si>
    <t>TC-FE-036</t>
  </si>
  <si>
    <t>Írj be keresőszót a .band-search input mezőbe.</t>
  </si>
  <si>
    <t>A találatok csak a megadott hangszert kereső bandákat mutatják.</t>
  </si>
  <si>
    <t>TC-FE-037</t>
  </si>
  <si>
    <t>Band lista betöltve</t>
  </si>
  <si>
    <t>Válassz Genre(s) szűrőt.</t>
  </si>
  <si>
    <t>A lista a kiválasztott műfajhoz illő bandákra szűkül.</t>
  </si>
  <si>
    <t>Nincs implementálva E2E tesztben - a Band keresőben csak város szűrő van, műfaj szűrő nem elérhető.</t>
  </si>
  <si>
    <t>TC-FE-038</t>
  </si>
  <si>
    <t>Nincs .band-card a listában (0 találat).</t>
  </si>
  <si>
    <t>TC-FE-039</t>
  </si>
  <si>
    <t>Band adatlap megjelenítése</t>
  </si>
  <si>
    <t>Bejelentkezett felhasználó, Band profil megnyitva</t>
  </si>
  <si>
    <t>Jelentkezz be, navigálj a /bands oldalra, kattints az első .band-card-ra.</t>
  </si>
  <si>
    <t>A .band-profile-page megjelenik, a .band-info-text tartalmazza az Open spots szöveget, és a Current members szekció látható.</t>
  </si>
  <si>
    <t>TC-FE-040</t>
  </si>
  <si>
    <t>Band csatlakozási információ</t>
  </si>
  <si>
    <t>Band részletes oldal megnyitva</t>
  </si>
  <si>
    <t>Ellenőrizd a .band-apply szekciót.</t>
  </si>
  <si>
    <t>A .band-apply tartalmazza a 'Csatlakozás' szöveget és az útmutatást a tagokkal való kapcsolatfelvételhez.</t>
  </si>
  <si>
    <t>TC-FE-041</t>
  </si>
  <si>
    <t>Report band gomb</t>
  </si>
  <si>
    <t>Band jelentkezési űrlap megnyitva</t>
  </si>
  <si>
    <t>Kattints a .band-report-btn gombra.</t>
  </si>
  <si>
    <t>A .report-modal megjelenik a jelentési űrlappal.</t>
  </si>
  <si>
    <t>TC-FE-042</t>
  </si>
  <si>
    <t>Current members blokk</t>
  </si>
  <si>
    <t>Érvényes jelentkezési adatok</t>
  </si>
  <si>
    <t>Görgess a 'Current members' szekcióhoz.</t>
  </si>
  <si>
    <t>A .band-members szekció megjelenik.</t>
  </si>
  <si>
    <t>TC-FE-043</t>
  </si>
  <si>
    <t>Events blokk</t>
  </si>
  <si>
    <t>Ellenőrizd a .band-events szekciót.</t>
  </si>
  <si>
    <t>Legalább 1 .event-card megjelenik a .band-events-en belül.</t>
  </si>
  <si>
    <t>TC-FE-044</t>
  </si>
  <si>
    <t>Upcoming events blokk</t>
  </si>
  <si>
    <t>Ellenőrizd az Upcoming events szekciót.</t>
  </si>
  <si>
    <t>Az eseménykártyák bandnévvel, eseménynévvel, dátummal és leírással jelennek meg.</t>
  </si>
  <si>
    <t>TC-FE-043 lefedi az events blokkot. Ez a teszteset redundáns.</t>
  </si>
  <si>
    <t>TC-FE-045</t>
  </si>
  <si>
    <t>Band szerkesztő űrlap előtöltése</t>
  </si>
  <si>
    <t>Bejelentkezett band admin / tulajdonos</t>
  </si>
  <si>
    <t>Jelentkezz be, kattints a 'Manage band' linkre a navbar-ben.</t>
  </si>
  <si>
    <t>A név, contact info, email és members mezők előtöltve jelennek meg.</t>
  </si>
  <si>
    <t>TC-FE-046</t>
  </si>
  <si>
    <t>Band adatok mentése</t>
  </si>
  <si>
    <t>Módosítsd a band nevet az első .form-col .field input-ban, majd kattints a 'Save changes' gombra.</t>
  </si>
  <si>
    <t>A .toast elem megjelenik a sikeres mentés visszajelzésével.</t>
  </si>
  <si>
    <t>TC-FE-047</t>
  </si>
  <si>
    <t>Új esemény űrlap mezői</t>
  </si>
  <si>
    <t>Band kezelő oldal megnyitva</t>
  </si>
  <si>
    <t>Ellenőrizd a második .form-col (New Event) szekciót.</t>
  </si>
  <si>
    <t>A select (post_type), textarea (message) és input[type=date] (expires_at) mezők megjelennek.</t>
  </si>
  <si>
    <t>TC-FE-048</t>
  </si>
  <si>
    <t>Új esemény validációja</t>
  </si>
  <si>
    <t>New Event űrlap megnyitva</t>
  </si>
  <si>
    <t>A második .form-col-ban kattints a 'Create event' gombra anélkül, hogy kitöltöd a mezőket.</t>
  </si>
  <si>
    <t>A 'required' hibaüzenet jelenik meg.</t>
  </si>
  <si>
    <t>TC-FE-049</t>
  </si>
  <si>
    <t>Új esemény létrehozása</t>
  </si>
  <si>
    <t>Érvényes esemény adatok</t>
  </si>
  <si>
    <t>Töltsd ki az expires_at (2030-01-01) és a message (textarea) mezőket, majd kattints a 'Create event' gombra.</t>
  </si>
  <si>
    <t>A .toast 'Event created' üzenetet jelenít meg.</t>
  </si>
  <si>
    <t>TC-FE-050</t>
  </si>
  <si>
    <t>About oldal tartalma</t>
  </si>
  <si>
    <t>Publikus vagy bejelentkezett felhasználó</t>
  </si>
  <si>
    <t>Nyisd meg az About Bander oldalt.</t>
  </si>
  <si>
    <t>A leíró szöveg és a Terms and Conditions letöltési lehetőség látható.</t>
  </si>
  <si>
    <t>TC-FE-051</t>
  </si>
  <si>
    <t>Terms and Conditions CTA</t>
  </si>
  <si>
    <t>About oldal megnyitva</t>
  </si>
  <si>
    <t>Kattints a letöltési lehetőségre.</t>
  </si>
  <si>
    <t>A letöltés vagy a dokumentum megnyitása elindul.</t>
  </si>
  <si>
    <t>TC-FE-052</t>
  </si>
  <si>
    <t>Admin dashboard betöltése</t>
  </si>
  <si>
    <t>Admin jogosultságú felhasználó</t>
  </si>
  <si>
    <t>Nyisd meg az admin oldalt.</t>
  </si>
  <si>
    <t>A Users / Bands / Reports / Events összesítő számok láthatók.</t>
  </si>
  <si>
    <t>TC-FE-053</t>
  </si>
  <si>
    <t>Reports tábla megjelenítése</t>
  </si>
  <si>
    <t>Admin oldal megnyitva</t>
  </si>
  <si>
    <t>Ellenőrizd a report táblázatot.</t>
  </si>
  <si>
    <t>Az ID, Reporter, Subject, Status th fejlécek megjelennek az .adm-main-en belül.</t>
  </si>
  <si>
    <t>TC-FE-054</t>
  </si>
  <si>
    <t>Felhasználó tiltás UI</t>
  </si>
  <si>
    <t>Kattints a 'Manual Actions' fülre (.adm-tabs), majd az .adm-actions-grid első .adm-card-jában töltsd ki a UserID .adm-input mezőt és kattints a 'Ban User' gombra.</t>
  </si>
  <si>
    <t>A művelethez tartozó visszajelzés / megerősítés látható.</t>
  </si>
  <si>
    <t>TC-FE-055</t>
  </si>
  <si>
    <t>Band tiltás UI</t>
  </si>
  <si>
    <t>A 'Manual Actions' fülön az .adm-actions-grid második .adm-card-jában töltsd ki a BandID és Reason .adm-input mezőket, majd kattints a 'Ban Band' gombra.</t>
  </si>
  <si>
    <t>TC-FE-056</t>
  </si>
  <si>
    <t>Esemény törlés UI</t>
  </si>
  <si>
    <t>A 'Manual Actions' fülön az .adm-actions-grid harmadik .adm-card-jában töltsd ki az EventID és Reason .adm-input mezőket, majd kattints a 'Delete Event' gombra.</t>
  </si>
  <si>
    <t>A törléshez tartozó alert visszajelzés megjelenik.</t>
  </si>
  <si>
    <t>TC-FE-057</t>
  </si>
  <si>
    <t>Publikus fejléc linkek működése</t>
  </si>
  <si>
    <t>Kattints a navbar-linkek Artists és Bands menüpontjaira publikus állapotban.</t>
  </si>
  <si>
    <t>Mindkettő a /login oldalra irányít át (protected route). A Log in gomb a /login-ra navigál.</t>
  </si>
  <si>
    <t>TC-FE-058</t>
  </si>
  <si>
    <t>Bejelentkezett állapot fejléc megjelenése</t>
  </si>
  <si>
    <t>Jelentkezz be, majd ellenőrizd a .navbar-actions tartalmát.</t>
  </si>
  <si>
    <t>A 'My account' és 'Sign out' gombok megjelennek a .navbar-actions-ben.</t>
  </si>
  <si>
    <t>TC-FE-059</t>
  </si>
  <si>
    <t>Footer linkek megjelenése</t>
  </si>
  <si>
    <t>Bármely mentést vagy küldést végző oldal</t>
  </si>
  <si>
    <t>Görgess a .footer elemhez.</t>
  </si>
  <si>
    <t>A footer tartalmazza az Artists, Bands és About Us linkeket.</t>
  </si>
  <si>
    <t>TC-FE-060</t>
  </si>
  <si>
    <t>Reszponzivitás</t>
  </si>
  <si>
    <t>Szűrős és kártyás oldalak törésvizsgálata</t>
  </si>
  <si>
    <t>Kisebb viewport / mobil nézet</t>
  </si>
  <si>
    <t>Állíts be iphone-6 viewportot és nyisd meg a kezdőlapot.</t>
  </si>
  <si>
    <t>A .navbar látható, és a 'Bander' felirat megjelenik.</t>
  </si>
  <si>
    <t>TC-FE-061</t>
  </si>
  <si>
    <t>Esemény kereső</t>
  </si>
  <si>
    <t>Események lista betöltése</t>
  </si>
  <si>
    <t>Nyisd meg az /events oldalt.</t>
  </si>
  <si>
    <t>Az .event-grid megjelenik event kártyákkal, mindegyik tartalmaz band nevet, típust, dátumot és leírást.</t>
  </si>
  <si>
    <t>TC-FE-062</t>
  </si>
  <si>
    <t>Szűrés band alapján</t>
  </si>
  <si>
    <t>Bejelentkezett felhasználó, Események betöltve</t>
  </si>
  <si>
    <t>Válassz bandát az .event-filters Band select-ből.</t>
  </si>
  <si>
    <t>Csak a kiválasztott band eseményei maradnak a listában.</t>
  </si>
  <si>
    <t>TC-FE-063</t>
  </si>
  <si>
    <t>Szűrés poszt típus alapján</t>
  </si>
  <si>
    <t>Válassz típust az .event-filters 'Post type' select-ből.</t>
  </si>
  <si>
    <t>A lista a kiválasztott típusnak (announcement/search/general) megfelelő eseményekre szűkül.</t>
  </si>
  <si>
    <t>TC-FE-064</t>
  </si>
  <si>
    <t>Írj be keresőszót az .event-search input mezőbe.</t>
  </si>
  <si>
    <t>TC-FE-065</t>
  </si>
  <si>
    <t>Report gomb artist kártyán</t>
  </si>
  <si>
    <t>Kattints a Report gombra egy artist kártyán.</t>
  </si>
  <si>
    <t>A ReportModal megjelenik a felhasználó jelentésének lehetőségével.</t>
  </si>
  <si>
    <t>TC-FE-066</t>
  </si>
  <si>
    <t>Report gomb az artist profiloldalon</t>
  </si>
  <si>
    <t>Bejelentkezett felhasználó, Artist profil megnyitva</t>
  </si>
  <si>
    <t>Kattints a .report-btn gombra az artist profil oldalon.</t>
  </si>
  <si>
    <t>A ReportModal megjelenik a megfelelő targetType=user és targetId paraméterekkel.</t>
  </si>
  <si>
    <t>TC-FE-067</t>
  </si>
  <si>
    <t>Report gomb band kártyán</t>
  </si>
  <si>
    <t>Kattints a Report gombra egy band kártyán.</t>
  </si>
  <si>
    <t>A ReportModal megjelenik a zenekar jelentésének lehetőségével.</t>
  </si>
  <si>
    <t>TC-FE-068</t>
  </si>
  <si>
    <t>Új band létrehozása</t>
  </si>
  <si>
    <t>Bejelentkezett felhasználó, nincs bandja</t>
  </si>
  <si>
    <t>Kattints a 'Create band' linkre a navbar-ben, töltsd ki a band nevet és várost, majd kattints a 'Create band' gombra.</t>
  </si>
  <si>
    <t>A band létrejön, a rendszer a /bands/manage/:id oldalra navigál.</t>
  </si>
  <si>
    <t>TC-FE-069</t>
  </si>
  <si>
    <t>Tag hozzáadása</t>
  </si>
  <si>
    <t>Bejelentkezett band admin, Manage band oldal megnyitva</t>
  </si>
  <si>
    <t>Válassz felhasználót a 'User' select-ből, válassz szerepet, majd kattints az 'Add member' gombra.</t>
  </si>
  <si>
    <t>A .toast 'Member added!' üzenetet jelenít meg.</t>
  </si>
  <si>
    <t>TC-FE-070</t>
  </si>
  <si>
    <t>Band avatar feltöltés</t>
  </si>
  <si>
    <t>A 'Band Images' szekcióban válassz avatar képet és kattints az Upload gombra.</t>
  </si>
  <si>
    <t>A .toast 'Avatar uploaded!' üzenetet jelenít meg, a kép frissül.</t>
  </si>
  <si>
    <t>TC-FE-071</t>
  </si>
  <si>
    <t>Band banner feltöltés</t>
  </si>
  <si>
    <t>A 'Band Images' szekcióban válassz banner képet és kattints az Upload gombra.</t>
  </si>
  <si>
    <t>A .toast 'Banner uploaded!' üzenetet jelenít meg, a banner frissül.</t>
  </si>
  <si>
    <t>TC-FE-072</t>
  </si>
  <si>
    <t>Profilkép feltöltés</t>
  </si>
  <si>
    <t>Bejelentkezett felhasználó, Profil szerkesztő oldal megnyitva</t>
  </si>
  <si>
    <t>A 'Profile picture' ImageUploadField-ben válassz fájlt.</t>
  </si>
  <si>
    <t>Az előnézeti kép megjelenik, a feltöltés a szerverre megtörténik.</t>
  </si>
  <si>
    <t>TC-FE-073</t>
  </si>
  <si>
    <t>Signup és bejelentkezés folyamata</t>
  </si>
  <si>
    <t>Regisztrálj új fiókot, majd navigálj az /artists oldalra és kattints az első artist kártyára.</t>
  </si>
  <si>
    <t>A regisztráció sikeres, az artist profil oldal betölt. A teszt után a létrehozott felhasználó törlésre kerül (cleanup).</t>
  </si>
  <si>
    <t>Signup-&gt;artists-&gt;card flow + cleanup</t>
  </si>
  <si>
    <t>TC-FE-074</t>
  </si>
  <si>
    <t>LoginUI custom command teszt</t>
  </si>
  <si>
    <t>Létező e2e@test.com felhasználó</t>
  </si>
  <si>
    <t>Használd a cy.loginUI() custom command-ot, majd navigálj az /artists oldalra.</t>
  </si>
  <si>
    <t>A bejelentkezés sikeres, az /artists oldal betölt.</t>
  </si>
  <si>
    <t>Custom Cypress command teszt</t>
  </si>
  <si>
    <t>TC-FE-075</t>
  </si>
  <si>
    <t>Kijelentkezés</t>
  </si>
  <si>
    <t>Kattints a 'Sign out' gombra a navbar-ben.</t>
  </si>
  <si>
    <t>A felhasználó kijelentkezik, a navbar a publikus állapotnak megfelelő menüpontokat mutatja (Log in, Sign up).</t>
  </si>
  <si>
    <t>TC-FE-076</t>
  </si>
  <si>
    <t>Report státusz módosítása (Reviewing)</t>
  </si>
  <si>
    <t>Admin jogosultságú felhasználó, Reports tábla betöltve</t>
  </si>
  <si>
    <t>Kattints a 'Reviewing' gombra egy report sorában.</t>
  </si>
  <si>
    <t>A report státusza Reviewing-ra változik.</t>
  </si>
  <si>
    <t>TC-FE-077</t>
  </si>
  <si>
    <t>Report feloldása (Resolve)</t>
  </si>
  <si>
    <t>Kattints a 'Resolve' gombra egy report sorában.</t>
  </si>
  <si>
    <t>A report státusza Resolved-ra változik.</t>
  </si>
  <si>
    <t>TC-FE-078</t>
  </si>
  <si>
    <t>Report elutasítása (Reject/Delete)</t>
  </si>
  <si>
    <t>Kattints a 'Reject (delete)' gombra egy report sorában.</t>
  </si>
  <si>
    <t>A report eltűnik a listából.</t>
  </si>
  <si>
    <t>TC-FE-079</t>
  </si>
  <si>
    <t>Report szűrés és keresés</t>
  </si>
  <si>
    <t>Írj be keresőszót az .adm-input mezőbe vagy válassz státuszt az .adm-select-ből.</t>
  </si>
  <si>
    <t>A report lista a szűrési feltételek szerint frissül.</t>
  </si>
  <si>
    <t>TC-FE-080</t>
  </si>
  <si>
    <t>Hibakezelés</t>
  </si>
  <si>
    <t>Toast visszajelzés megjelenése és eltűnése</t>
  </si>
  <si>
    <t>Bármely mentést végző oldal</t>
  </si>
  <si>
    <t>Hajts végre sikeres mentési műveletet.</t>
  </si>
  <si>
    <t>A .toast elem megjelenik, majd automatikusan eltűnik ~3 másodperc után.</t>
  </si>
  <si>
    <t>TC-FE-081</t>
  </si>
  <si>
    <t>Multi-select instrument és stílus választás</t>
  </si>
  <si>
    <t>Kattints az Instrument(s) és Style(s) MultiSelectDropdown triggerekre, válassz elemeket.</t>
  </si>
  <si>
    <t>A kiválasztott elemek megjelennek a trigger szövegben és a bal oldali profil kártyán.</t>
  </si>
  <si>
    <t>TC-FE-082</t>
  </si>
  <si>
    <t>Jelszó mező megjelenítés/elrejtés</t>
  </si>
  <si>
    <t>Login oldal megnyitva</t>
  </si>
  <si>
    <t>Kattints a jelszó mező melletti szem ikonra (.toggle-password).</t>
  </si>
  <si>
    <t>A jelszó mező type attribútuma password és text között váltakozik.</t>
  </si>
  <si>
    <t>TC-FE-083</t>
  </si>
  <si>
    <t>Jelszó mezők megjelenítés/elrejtés</t>
  </si>
  <si>
    <t>Signup oldal megnyitva</t>
  </si>
  <si>
    <t>Kattints mindkét jelszó mező melletti szem ikonra.</t>
  </si>
  <si>
    <t>A jelszó mezők type attribútuma password és text között váltakozik.</t>
  </si>
  <si>
    <t>TC-FE-084</t>
  </si>
  <si>
    <t>Band header megjelenítése</t>
  </si>
  <si>
    <t>Ellenőrizd a .band-header szekciót.</t>
  </si>
  <si>
    <t>A band neve megjelenik a header-ben (h1), és a háttérkép (ha van) betölt.</t>
  </si>
  <si>
    <t>TC-FE-085</t>
  </si>
  <si>
    <t>Load more paginálás</t>
  </si>
  <si>
    <t>Bejelentkezett felhasználó, Artist lista betöltve, több mint 20 artist létezik</t>
  </si>
  <si>
    <t>Kattints a 'Load more' gombra az artist lista alján.</t>
  </si>
  <si>
    <t>Új artist kártyák töltődnek be, az összesítő szöveg frissül.</t>
  </si>
  <si>
    <t>TC-FE-086</t>
  </si>
  <si>
    <t>Bejelentkezett felhasználó, Band lista betöltve, több mint 10 band létezik</t>
  </si>
  <si>
    <t>Kattints a 'Load more' gombra a band lista alján.</t>
  </si>
  <si>
    <t>Új band kártyák töltődnek be.</t>
  </si>
  <si>
    <t>TC-FE-087</t>
  </si>
  <si>
    <t>About oldal szöveg tartalma</t>
  </si>
  <si>
    <t>Ellenőrizd az .about-text div tartalmát.</t>
  </si>
  <si>
    <t>A leíró szöveg több bekezdésben jelenik meg, olvashatóan formázva.</t>
  </si>
  <si>
    <t>TC-FE-088</t>
  </si>
  <si>
    <t>Saját magadnak üzenet küldés tiltása</t>
  </si>
  <si>
    <t>Bejelentkezett felhasználó, saját profil megnyitva</t>
  </si>
  <si>
    <t>Próbálj üzenetet küldeni saját magadnak.</t>
  </si>
  <si>
    <t>A rendszer alert-tel jelzi, hogy nem küldhetsz magadnak üzenetet, vagy átirányít.</t>
  </si>
  <si>
    <t>TC-FE-089</t>
  </si>
  <si>
    <t>Admin sidebar navigáció</t>
  </si>
  <si>
    <t>Ellenőrizd az .adm-sidebar .adm-nav tartalmát.</t>
  </si>
  <si>
    <t>A Moderation, Users, Bands, Events navigációs gombok megjelennek.</t>
  </si>
  <si>
    <t>TC-FE-090</t>
  </si>
  <si>
    <t>Hero szekció CTA</t>
  </si>
  <si>
    <t>Kattints az 'Artist Finder' gombra (.hero-btn) a hero szekcióban.</t>
  </si>
  <si>
    <t>A /artists oldalra navigál (vagy /login-ra ha nem bejelentkezett).</t>
  </si>
  <si>
    <t>UI_ID</t>
  </si>
  <si>
    <t>Oldal</t>
  </si>
  <si>
    <t>Elem</t>
  </si>
  <si>
    <t>Ellenőrzési szempont</t>
  </si>
  <si>
    <t>UI-001</t>
  </si>
  <si>
    <t>Hero szekció</t>
  </si>
  <si>
    <t>A címsor, alcím és CTA vizuálisan elkülönül, jól olvasható.</t>
  </si>
  <si>
    <t>UI-002</t>
  </si>
  <si>
    <t>Kártyák</t>
  </si>
  <si>
    <t>Az artist / band / event kártyák egységes méretűek és tördelésűek.</t>
  </si>
  <si>
    <t>UI-003</t>
  </si>
  <si>
    <t>Űrlap mezők</t>
  </si>
  <si>
    <t>A mezők címkéi olvashatók, fókuszállapot egyértelmű.</t>
  </si>
  <si>
    <t>UI-004</t>
  </si>
  <si>
    <t>Űrlap elrendezés</t>
  </si>
  <si>
    <t>A mezők és a CTA között megfelelő térköz van.</t>
  </si>
  <si>
    <t>UI-005</t>
  </si>
  <si>
    <t>Szűrősáv</t>
  </si>
  <si>
    <t>A szűrők logikus sorrendben jelennek meg, könnyen módosíthatók.</t>
  </si>
  <si>
    <t>UI-006</t>
  </si>
  <si>
    <t>Profil blokk</t>
  </si>
  <si>
    <t>Kép, név és metaadatok jól csoportosítottak.</t>
  </si>
  <si>
    <t>UI-007</t>
  </si>
  <si>
    <t>Leírás blokk</t>
  </si>
  <si>
    <t>A hosszabb szöveg nem lóg ki és mobilon is olvasható.</t>
  </si>
  <si>
    <t>UI-008</t>
  </si>
  <si>
    <t>Chat felület</t>
  </si>
  <si>
    <t>Az üzenetlista és az input elkülönül, görgetés működik.</t>
  </si>
  <si>
    <t>UI-009</t>
  </si>
  <si>
    <t>Kártyarács</t>
  </si>
  <si>
    <t>A kártyák egyenletesen rendezettek, nem csúsznak egymásra.</t>
  </si>
  <si>
    <t>UI-010</t>
  </si>
  <si>
    <t>Csatlakozási szekció</t>
  </si>
  <si>
    <t>A band leírás és a csatlakozási információ (.band-apply) jól elkülönül. A Report gomb működik.</t>
  </si>
  <si>
    <t>UI-011</t>
  </si>
  <si>
    <t>Űrlap + új esemény blokk</t>
  </si>
  <si>
    <t>A két funkcionális blokk vizuálisan elkülönül.</t>
  </si>
  <si>
    <t>UI-012</t>
  </si>
  <si>
    <t>Szöveges oldal</t>
  </si>
  <si>
    <t>A hosszú szöveg megfelelő sortávval, jól olvashatóan jelenik meg.</t>
  </si>
  <si>
    <t>UI-013</t>
  </si>
  <si>
    <t>Táblázat</t>
  </si>
  <si>
    <t>A report táblázat oszlopai olvashatók, a státuszok megkülönböztethetők.</t>
  </si>
  <si>
    <t>UI-014</t>
  </si>
  <si>
    <t>Globális</t>
  </si>
  <si>
    <t>Gombok</t>
  </si>
  <si>
    <t>Az elsődleges és másodlagos gombok stílusa konzisztens.</t>
  </si>
  <si>
    <t>UI-015</t>
  </si>
  <si>
    <t>Színkontraszt</t>
  </si>
  <si>
    <t>A narancs / bézs / türkiz színvilág mellett a szöveg olvashatósága megfelelő.</t>
  </si>
  <si>
    <t>UI-016</t>
  </si>
  <si>
    <t>Event kártyák</t>
  </si>
  <si>
    <t>Az eseménykártyák egységes méretűek, a band név, típus badge, dátum és leírás olvasható.</t>
  </si>
  <si>
    <t>UI-017</t>
  </si>
  <si>
    <t>Profil szerkesztés</t>
  </si>
  <si>
    <t>MultiSelect dropdown</t>
  </si>
  <si>
    <t>Az instrument és stílus MultiSelectDropdown kinyílik, a checkbox-ok jelölhetők, a kiválasztás visszatükröződik.</t>
  </si>
  <si>
    <t>UI-018</t>
  </si>
  <si>
    <t>Képfeltöltés szekció</t>
  </si>
  <si>
    <t>A banner és avatar feltöltő blokkok vizuálisan elkülönülnek, az előnézet helyesen jelenik meg.</t>
  </si>
  <si>
    <t>UI-019</t>
  </si>
  <si>
    <t>Üzenet buborékok</t>
  </si>
  <si>
    <t>A saját (right/me) és partner (left/other) üzenetek vizuálisan megkülönböztethetők.</t>
  </si>
  <si>
    <t>UI-020</t>
  </si>
  <si>
    <t>Status pill-ek</t>
  </si>
  <si>
    <t>A report státusz pill-ek (Open/Reviewing/Resolved) különböző színűek és megkülönböztethetők.</t>
  </si>
  <si>
    <t>AUTH_ID</t>
  </si>
  <si>
    <t>Szerepkör</t>
  </si>
  <si>
    <t>Elvárt hozzáférés</t>
  </si>
  <si>
    <t>Teszt eredmény</t>
  </si>
  <si>
    <t>AUTH-001</t>
  </si>
  <si>
    <t>Vendég</t>
  </si>
  <si>
    <t>Elérhető</t>
  </si>
  <si>
    <t>A publikus landing oldal megtekinthető bejelentkezés nélkül.</t>
  </si>
  <si>
    <t>AUTH-002</t>
  </si>
  <si>
    <t>Tiltott / redirect (login szükséges)</t>
  </si>
  <si>
    <t>A /artists oldal bejelentkezés nélkül /login-ra irányít (ProtectedRoute).</t>
  </si>
  <si>
    <t>AUTH-003</t>
  </si>
  <si>
    <t>A /bands oldal bejelentkezés nélkül /login-ra irányít (ProtectedRoute).</t>
  </si>
  <si>
    <t>AUTH-004</t>
  </si>
  <si>
    <t>Tiltott / redirect</t>
  </si>
  <si>
    <t>A saját profil szerkesztése csak bejelentkezés után érhető el.</t>
  </si>
  <si>
    <t>AUTH-005</t>
  </si>
  <si>
    <t>Az üzenetküldő felület csak bejelentkezés után érhető el.</t>
  </si>
  <si>
    <t>AUTH-006</t>
  </si>
  <si>
    <t>Band admin funkciók nem érhetők el publikus felhasználóként.</t>
  </si>
  <si>
    <t>AUTH-007</t>
  </si>
  <si>
    <t>Az admin felület vendégként nem érhető el.</t>
  </si>
  <si>
    <t>AUTH-008</t>
  </si>
  <si>
    <t>Bejelentkezett user</t>
  </si>
  <si>
    <t>A részletes profilnézet és message CTA elérhető.</t>
  </si>
  <si>
    <t>AUTH-009</t>
  </si>
  <si>
    <t>Elérhető (saját profil)</t>
  </si>
  <si>
    <t>A saját profil szerkesztő űrlapja elérhető.</t>
  </si>
  <si>
    <t>AUTH-010</t>
  </si>
  <si>
    <t>Az üzenetküldő oldal használható.</t>
  </si>
  <si>
    <t>AUTH-011</t>
  </si>
  <si>
    <t>Band jelentkezés</t>
  </si>
  <si>
    <t>A band application űrlap használható.</t>
  </si>
  <si>
    <t>AUTH-012</t>
  </si>
  <si>
    <t>A normál user nem láthat admin funkciót.</t>
  </si>
  <si>
    <t>AUTH-013</t>
  </si>
  <si>
    <t>Admin dashboard</t>
  </si>
  <si>
    <t>Az admin felhasználó látja az összesítő számokat és report műveleteket.</t>
  </si>
  <si>
    <t>AUTH-014</t>
  </si>
  <si>
    <t>Események oldal</t>
  </si>
  <si>
    <t>Az /events oldal bejelentkezés nélkül /login-ra irányít (ProtectedRoute).</t>
  </si>
  <si>
    <t>AUTH-015</t>
  </si>
  <si>
    <t>A /band/:id oldal bejelentkezés nélkül /login-ra irányít (ProtectedRoute).</t>
  </si>
  <si>
    <t>AUTH-016</t>
  </si>
  <si>
    <t>A /artist/:id oldal bejelentkezés nélkül /login-ra irányít (ProtectedRoute).</t>
  </si>
  <si>
    <t>AUTH-017</t>
  </si>
  <si>
    <t>Az /events oldal elérhető bejelentkezés után.</t>
  </si>
  <si>
    <t>AUTH-018</t>
  </si>
  <si>
    <t>Band létrehozás</t>
  </si>
  <si>
    <t>A /bands/create oldal elérhető, ha a felhasználónak nincs bandja.</t>
  </si>
  <si>
    <t>Képernyő/Folyamat</t>
  </si>
  <si>
    <t>Lefedett tesztek száma</t>
  </si>
  <si>
    <t>Események szűrése, keresése, megjelenítése</t>
  </si>
  <si>
    <t>Toast visszajelzések, hibaüzenetek</t>
  </si>
  <si>
    <t>Mobil nézet, viewport tesztelés</t>
  </si>
  <si>
    <t>Nem releváns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</si>
</sst>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b/>
      <sz val="11"/>
      <color rgb="FF333333"/>
      <name val="Calibri"/>
      <charset val="1"/>
    </font>
    <font>
      <b/>
      <sz val="11"/>
      <color rgb="FFFFFFFF"/>
      <name val="Calibri"/>
      <charset val="1"/>
    </font>
    <font>
      <b/>
      <sz val="11"/>
      <color rgb="FFC00000"/>
      <name val="Calibri"/>
      <charset val="1"/>
    </font>
    <font>
      <i/>
      <sz val="11"/>
      <color rgb="FF666666"/>
      <name val="Calibri"/>
      <charset val="1"/>
    </font>
    <font>
      <b/>
      <sz val="11"/>
      <color rgb="FF9C6500"/>
      <name val="Calibri"/>
      <charset val="1"/>
    </font>
    <font>
      <sz val="11"/>
      <color rgb="FF666666"/>
      <name val="Calibri"/>
      <charset val="1"/>
    </font>
    <font>
      <sz val="11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58C28"/>
        <bgColor rgb="FFFF8080"/>
      </patternFill>
    </fill>
    <fill>
      <patternFill patternType="solid">
        <fgColor rgb="FFF6EEDF"/>
        <bgColor rgb="FFEDEDED"/>
      </patternFill>
    </fill>
    <fill>
      <patternFill patternType="solid">
        <fgColor rgb="FF2FA7A0"/>
        <bgColor rgb="FF33CCCC"/>
      </patternFill>
    </fill>
    <fill>
      <patternFill patternType="solid">
        <fgColor rgb="FFEDEDED"/>
        <bgColor rgb="FFE6F4EA"/>
      </patternFill>
    </fill>
    <fill>
      <patternFill patternType="solid">
        <fgColor rgb="FFD9EAF7"/>
        <bgColor rgb="FFE6F4EA"/>
      </patternFill>
    </fill>
    <fill>
      <patternFill patternType="solid">
        <fgColor rgb="FFFFF2CC"/>
        <bgColor rgb="FFF6EEDF"/>
      </patternFill>
    </fill>
    <fill>
      <patternFill patternType="solid">
        <fgColor rgb="FFE6F4EA"/>
        <bgColor rgb="FFEDEDED"/>
      </patternFill>
    </fill>
    <fill>
      <patternFill patternType="solid">
        <fgColor rgb="FFF3E5F5"/>
        <bgColor rgb="FFEDEDED"/>
      </patternFill>
    </fill>
    <fill>
      <patternFill patternType="solid">
        <fgColor rgb="FFD9EAD3"/>
        <bgColor rgb="FFD9EAF7"/>
      </patternFill>
    </fill>
    <fill>
      <patternFill patternType="solid">
        <fgColor rgb="FFF4CCCC"/>
        <bgColor rgb="FFD9C9B1"/>
      </patternFill>
    </fill>
  </fills>
  <borders count="2">
    <border>
      <left/>
      <right/>
      <top/>
      <bottom/>
      <diagonal/>
    </border>
    <border>
      <left style="thin">
        <color rgb="FFD9C9B1"/>
      </left>
      <right style="thin">
        <color rgb="FFD9C9B1"/>
      </right>
      <top style="thin">
        <color rgb="FFD9C9B1"/>
      </top>
      <bottom style="thin">
        <color rgb="FFD9C9B1"/>
      </bottom>
      <diagonal/>
    </border>
  </borders>
  <cellStyleXfs count="2">
    <xf numFmtId="0" fontId="0" fillId="0" borderId="0"/>
    <xf numFmtId="0" fontId="8" fillId="0" borderId="0"/>
  </cellStyleXfs>
  <cellXfs count="27">
    <xf numFmtId="0" fontId="0" fillId="0" borderId="0" xfId="0"/>
    <xf numFmtId="0" fontId="0" fillId="0" borderId="0" xfId="0" applyFont="1"/>
    <xf numFmtId="0" fontId="2" fillId="3" borderId="1" xfId="1" applyFont="1" applyFill="1" applyBorder="1" applyAlignment="1">
      <alignment vertical="center" wrapText="1"/>
    </xf>
    <xf numFmtId="0" fontId="0" fillId="0" borderId="1" xfId="1" applyFont="1" applyBorder="1" applyAlignment="1">
      <alignment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2" borderId="1" xfId="1" applyFont="1" applyFill="1" applyBorder="1"/>
    <xf numFmtId="0" fontId="0" fillId="0" borderId="1" xfId="1" applyFont="1" applyBorder="1"/>
    <xf numFmtId="0" fontId="4" fillId="0" borderId="1" xfId="1" applyFont="1" applyBorder="1" applyAlignment="1">
      <alignment vertical="center" wrapText="1"/>
    </xf>
    <xf numFmtId="0" fontId="5" fillId="5" borderId="1" xfId="1" applyFont="1" applyFill="1" applyBorder="1" applyAlignment="1">
      <alignment vertical="center" wrapText="1"/>
    </xf>
    <xf numFmtId="0" fontId="0" fillId="6" borderId="1" xfId="1" applyFont="1" applyFill="1" applyBorder="1" applyAlignment="1">
      <alignment vertical="center" wrapText="1"/>
    </xf>
    <xf numFmtId="0" fontId="4" fillId="6" borderId="1" xfId="1" applyFont="1" applyFill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0" fontId="0" fillId="7" borderId="1" xfId="1" applyFont="1" applyFill="1" applyBorder="1" applyAlignment="1">
      <alignment vertical="center" wrapText="1"/>
    </xf>
    <xf numFmtId="0" fontId="4" fillId="7" borderId="1" xfId="1" applyFont="1" applyFill="1" applyBorder="1" applyAlignment="1">
      <alignment vertical="center" wrapText="1"/>
    </xf>
    <xf numFmtId="0" fontId="6" fillId="6" borderId="1" xfId="1" applyFont="1" applyFill="1" applyBorder="1" applyAlignment="1">
      <alignment vertical="center" wrapText="1"/>
    </xf>
    <xf numFmtId="0" fontId="0" fillId="8" borderId="1" xfId="1" applyFont="1" applyFill="1" applyBorder="1" applyAlignment="1">
      <alignment vertical="center" wrapText="1"/>
    </xf>
    <xf numFmtId="0" fontId="6" fillId="8" borderId="1" xfId="1" applyFont="1" applyFill="1" applyBorder="1" applyAlignment="1">
      <alignment vertical="center" wrapText="1"/>
    </xf>
    <xf numFmtId="0" fontId="0" fillId="9" borderId="1" xfId="1" applyFont="1" applyFill="1" applyBorder="1" applyAlignment="1">
      <alignment vertical="center" wrapText="1"/>
    </xf>
    <xf numFmtId="0" fontId="6" fillId="9" borderId="1" xfId="1" applyFont="1" applyFill="1" applyBorder="1" applyAlignment="1">
      <alignment vertical="center" wrapText="1"/>
    </xf>
    <xf numFmtId="0" fontId="6" fillId="7" borderId="1" xfId="1" applyFont="1" applyFill="1" applyBorder="1" applyAlignment="1">
      <alignment vertical="center" wrapText="1"/>
    </xf>
    <xf numFmtId="0" fontId="7" fillId="9" borderId="1" xfId="1" applyFont="1" applyFill="1" applyBorder="1" applyAlignment="1">
      <alignment vertical="center" wrapText="1"/>
    </xf>
    <xf numFmtId="0" fontId="7" fillId="6" borderId="1" xfId="1" applyFont="1" applyFill="1" applyBorder="1" applyAlignment="1">
      <alignment vertical="center" wrapText="1"/>
    </xf>
    <xf numFmtId="0" fontId="4" fillId="9" borderId="1" xfId="1" applyFont="1" applyFill="1" applyBorder="1" applyAlignment="1">
      <alignment vertical="center" wrapText="1"/>
    </xf>
    <xf numFmtId="0" fontId="0" fillId="10" borderId="1" xfId="1" applyFont="1" applyFill="1" applyBorder="1" applyAlignment="1">
      <alignment vertical="center" wrapText="1"/>
    </xf>
    <xf numFmtId="0" fontId="0" fillId="11" borderId="1" xfId="1" applyFont="1" applyFill="1" applyBorder="1" applyAlignment="1">
      <alignment vertical="center" wrapText="1"/>
    </xf>
    <xf numFmtId="0" fontId="1" fillId="2" borderId="0" xfId="1" applyFont="1" applyFill="1" applyBorder="1"/>
    <xf numFmtId="0" fontId="3" fillId="4" borderId="0" xfId="1" applyFont="1" applyFill="1" applyBorder="1" applyAlignment="1">
      <alignment vertical="center" wrapText="1"/>
    </xf>
  </cellXfs>
  <cellStyles count="2">
    <cellStyle name="Normal" xfId="1" xr:uid="{00000000-0005-0000-0000-000006000000}"/>
    <cellStyle name="Normál" xfId="0" builtinId="0"/>
  </cellStyles>
  <dxfs count="40"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D9C9B1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4EA"/>
      <rgbColor rgb="FFD9EAD3"/>
      <rgbColor rgb="FFF6EEDF"/>
      <rgbColor rgb="FFEDEDED"/>
      <rgbColor rgb="FFFF99CC"/>
      <rgbColor rgb="FFCC99FF"/>
      <rgbColor rgb="FFF4CCCC"/>
      <rgbColor rgb="FF3366FF"/>
      <rgbColor rgb="FF33CCCC"/>
      <rgbColor rgb="FF99CC00"/>
      <rgbColor rgb="FFFFCC00"/>
      <rgbColor rgb="FFF58C28"/>
      <rgbColor rgb="FFFF6600"/>
      <rgbColor rgb="FF666666"/>
      <rgbColor rgb="FF969696"/>
      <rgbColor rgb="FF003366"/>
      <rgbColor rgb="FF2FA7A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58C28"/>
  </sheetPr>
  <dimension ref="A1:H20"/>
  <sheetViews>
    <sheetView showGridLines="0" zoomScaleNormal="100" workbookViewId="0">
      <selection activeCell="D3" sqref="D3"/>
    </sheetView>
  </sheetViews>
  <sheetFormatPr defaultColWidth="8.7109375" defaultRowHeight="15" customHeight="1" x14ac:dyDescent="0.25"/>
  <cols>
    <col min="1" max="1" width="22" style="1" customWidth="1"/>
    <col min="2" max="2" width="48" style="1" customWidth="1"/>
    <col min="4" max="4" width="24" style="1" customWidth="1"/>
    <col min="5" max="5" width="52" style="1" customWidth="1"/>
    <col min="6" max="8" width="10" style="1" customWidth="1"/>
  </cols>
  <sheetData>
    <row r="1" spans="1:8" ht="21" customHeight="1" x14ac:dyDescent="0.35">
      <c r="A1" s="25" t="s">
        <v>0</v>
      </c>
      <c r="B1" s="25"/>
      <c r="C1" s="25"/>
      <c r="D1" s="25"/>
      <c r="E1" s="25"/>
      <c r="F1" s="25"/>
      <c r="G1" s="25"/>
      <c r="H1" s="25"/>
    </row>
    <row r="3" spans="1:8" ht="24" customHeight="1" x14ac:dyDescent="0.25">
      <c r="A3" s="2" t="s">
        <v>1</v>
      </c>
      <c r="B3" s="3" t="s">
        <v>2</v>
      </c>
    </row>
    <row r="4" spans="1:8" ht="24" customHeight="1" x14ac:dyDescent="0.25">
      <c r="A4" s="2" t="s">
        <v>3</v>
      </c>
      <c r="B4" s="3" t="s">
        <v>4</v>
      </c>
    </row>
    <row r="5" spans="1:8" ht="24" customHeight="1" x14ac:dyDescent="0.25">
      <c r="A5" s="2" t="s">
        <v>5</v>
      </c>
      <c r="B5" s="3" t="s">
        <v>6</v>
      </c>
    </row>
    <row r="7" spans="1:8" ht="15" customHeight="1" x14ac:dyDescent="0.25">
      <c r="A7" s="26" t="s">
        <v>7</v>
      </c>
      <c r="B7" s="26"/>
      <c r="C7" s="26"/>
      <c r="D7" s="26" t="s">
        <v>8</v>
      </c>
      <c r="E7" s="26"/>
      <c r="F7" s="26"/>
      <c r="G7" s="26"/>
      <c r="H7" s="26"/>
    </row>
    <row r="8" spans="1:8" ht="27.75" customHeight="1" x14ac:dyDescent="0.25">
      <c r="A8" s="2" t="s">
        <v>9</v>
      </c>
      <c r="B8" s="3">
        <f>COUNTA(Tesztesetek!A:A)-1</f>
        <v>90</v>
      </c>
      <c r="D8" s="2" t="s">
        <v>10</v>
      </c>
      <c r="E8" s="3" t="s">
        <v>11</v>
      </c>
      <c r="F8" s="3"/>
      <c r="G8" s="3"/>
      <c r="H8" s="3"/>
    </row>
    <row r="9" spans="1:8" ht="27.75" customHeight="1" x14ac:dyDescent="0.25">
      <c r="A9" s="2" t="s">
        <v>12</v>
      </c>
      <c r="B9" s="3">
        <f>COUNTIF(Tesztesetek!H:H,"Magas")</f>
        <v>40</v>
      </c>
      <c r="D9" s="2" t="s">
        <v>13</v>
      </c>
      <c r="E9" s="3" t="s">
        <v>14</v>
      </c>
      <c r="F9" s="3"/>
      <c r="G9" s="3"/>
      <c r="H9" s="3"/>
    </row>
    <row r="10" spans="1:8" ht="27.75" customHeight="1" x14ac:dyDescent="0.25">
      <c r="A10" s="2" t="s">
        <v>15</v>
      </c>
      <c r="B10" s="3">
        <f>COUNTIF(Tesztesetek!H:H,"Közepes")</f>
        <v>43</v>
      </c>
      <c r="D10" s="2" t="s">
        <v>16</v>
      </c>
      <c r="E10" s="3" t="s">
        <v>17</v>
      </c>
      <c r="F10" s="3"/>
      <c r="G10" s="3"/>
      <c r="H10" s="3"/>
    </row>
    <row r="11" spans="1:8" ht="27.75" customHeight="1" x14ac:dyDescent="0.25">
      <c r="A11" s="2" t="s">
        <v>18</v>
      </c>
      <c r="B11" s="3">
        <f>COUNTIF(Tesztesetek!H:H,"Alacsony")</f>
        <v>7</v>
      </c>
      <c r="D11" s="2" t="s">
        <v>19</v>
      </c>
      <c r="E11" s="3" t="s">
        <v>20</v>
      </c>
      <c r="F11" s="3"/>
      <c r="G11" s="3"/>
      <c r="H11" s="3"/>
    </row>
    <row r="12" spans="1:8" ht="27.75" customHeight="1" x14ac:dyDescent="0.25">
      <c r="A12" s="2" t="s">
        <v>21</v>
      </c>
      <c r="B12" s="3">
        <f>COUNTIF(Tesztesetek!D:D,"Validáció")</f>
        <v>8</v>
      </c>
      <c r="D12" s="2" t="s">
        <v>22</v>
      </c>
      <c r="E12" s="3" t="s">
        <v>23</v>
      </c>
      <c r="F12" s="3"/>
      <c r="G12" s="3"/>
      <c r="H12" s="3"/>
    </row>
    <row r="13" spans="1:8" ht="27.75" customHeight="1" x14ac:dyDescent="0.25">
      <c r="A13" s="2" t="s">
        <v>24</v>
      </c>
      <c r="B13" s="3">
        <f>COUNTIF(Tesztesetek!D:D,"Navigáció")+COUNTIF(Tesztesetek!D:D,"UI/Navigáció")</f>
        <v>7</v>
      </c>
      <c r="D13" s="2" t="s">
        <v>25</v>
      </c>
      <c r="E13" s="3" t="s">
        <v>26</v>
      </c>
      <c r="F13" s="3"/>
      <c r="G13" s="3"/>
      <c r="H13" s="3"/>
    </row>
    <row r="14" spans="1:8" ht="27.75" customHeight="1" x14ac:dyDescent="0.25">
      <c r="A14" s="2" t="s">
        <v>27</v>
      </c>
      <c r="B14" s="3">
        <f>COUNTA(UI_ellenorzes!A:A)-1</f>
        <v>20</v>
      </c>
      <c r="D14" s="2" t="s">
        <v>28</v>
      </c>
      <c r="E14" s="3" t="s">
        <v>29</v>
      </c>
      <c r="F14" s="3"/>
      <c r="G14" s="3"/>
      <c r="H14" s="3"/>
    </row>
    <row r="15" spans="1:8" ht="27.75" customHeight="1" x14ac:dyDescent="0.25">
      <c r="A15" s="2" t="s">
        <v>30</v>
      </c>
      <c r="B15" s="3">
        <f>COUNTA(Jogosultsagok!A:A)-1</f>
        <v>18</v>
      </c>
      <c r="D15" s="2" t="s">
        <v>31</v>
      </c>
      <c r="E15" s="3" t="s">
        <v>32</v>
      </c>
      <c r="F15" s="3"/>
      <c r="G15" s="3"/>
      <c r="H15" s="3"/>
    </row>
    <row r="16" spans="1:8" ht="27.75" customHeight="1" x14ac:dyDescent="0.25">
      <c r="D16" s="2" t="s">
        <v>33</v>
      </c>
      <c r="E16" s="3" t="s">
        <v>34</v>
      </c>
      <c r="F16" s="3"/>
      <c r="G16" s="3"/>
      <c r="H16" s="3"/>
    </row>
    <row r="17" spans="4:8" ht="27.75" customHeight="1" x14ac:dyDescent="0.25">
      <c r="D17" s="2" t="s">
        <v>35</v>
      </c>
      <c r="E17" s="3" t="s">
        <v>36</v>
      </c>
      <c r="F17" s="3"/>
      <c r="G17" s="3"/>
      <c r="H17" s="3"/>
    </row>
    <row r="18" spans="4:8" ht="27.75" customHeight="1" x14ac:dyDescent="0.25">
      <c r="D18" s="2" t="s">
        <v>37</v>
      </c>
      <c r="E18" s="3" t="s">
        <v>38</v>
      </c>
      <c r="F18" s="3"/>
      <c r="G18" s="3"/>
      <c r="H18" s="3"/>
    </row>
    <row r="19" spans="4:8" ht="27.75" customHeight="1" x14ac:dyDescent="0.25">
      <c r="D19" s="2" t="s">
        <v>39</v>
      </c>
      <c r="E19" s="3" t="s">
        <v>40</v>
      </c>
      <c r="F19" s="3"/>
      <c r="G19" s="3"/>
      <c r="H19" s="3"/>
    </row>
    <row r="20" spans="4:8" ht="27.75" customHeight="1" x14ac:dyDescent="0.25">
      <c r="D20" s="2" t="s">
        <v>41</v>
      </c>
      <c r="E20" s="3" t="s">
        <v>42</v>
      </c>
      <c r="F20" s="3"/>
      <c r="G20" s="3"/>
      <c r="H20" s="3"/>
    </row>
  </sheetData>
  <mergeCells count="3">
    <mergeCell ref="A1:H1"/>
    <mergeCell ref="A7:C7"/>
    <mergeCell ref="D7:H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A7A0"/>
  </sheetPr>
  <dimension ref="A1:N92"/>
  <sheetViews>
    <sheetView showGridLines="0" tabSelected="1" topLeftCell="B79" zoomScaleNormal="100" workbookViewId="0">
      <selection activeCell="I45" sqref="I45"/>
    </sheetView>
  </sheetViews>
  <sheetFormatPr defaultColWidth="8.7109375" defaultRowHeight="15" customHeight="1" x14ac:dyDescent="0.25"/>
  <cols>
    <col min="1" max="1" width="12" style="1" customWidth="1"/>
    <col min="2" max="2" width="20" style="1" customWidth="1"/>
    <col min="3" max="3" width="24" style="1" customWidth="1"/>
    <col min="4" max="4" width="16" style="1" customWidth="1"/>
    <col min="5" max="5" width="24" style="1" customWidth="1"/>
    <col min="6" max="6" width="42" style="1" customWidth="1"/>
    <col min="7" max="7" width="48" style="1" customWidth="1"/>
    <col min="8" max="10" width="12" style="1" customWidth="1"/>
    <col min="11" max="11" width="18" style="1" customWidth="1"/>
    <col min="13" max="13" width="14" style="1" customWidth="1"/>
    <col min="14" max="14" width="28" style="1" customWidth="1"/>
  </cols>
  <sheetData>
    <row r="1" spans="1:14" ht="25.5" customHeight="1" x14ac:dyDescent="0.25">
      <c r="A1" s="4" t="s">
        <v>43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  <c r="I1" s="4" t="s">
        <v>51</v>
      </c>
      <c r="J1" s="4" t="s">
        <v>52</v>
      </c>
      <c r="K1" s="4" t="s">
        <v>53</v>
      </c>
      <c r="M1" s="5" t="s">
        <v>54</v>
      </c>
      <c r="N1" s="6"/>
    </row>
    <row r="2" spans="1:14" ht="42" customHeight="1" x14ac:dyDescent="0.25">
      <c r="A2" s="3" t="s">
        <v>55</v>
      </c>
      <c r="B2" s="3" t="s">
        <v>10</v>
      </c>
      <c r="C2" s="3" t="s">
        <v>56</v>
      </c>
      <c r="D2" s="3" t="s">
        <v>57</v>
      </c>
      <c r="E2" s="3" t="s">
        <v>58</v>
      </c>
      <c r="F2" s="3" t="s">
        <v>59</v>
      </c>
      <c r="G2" s="3" t="s">
        <v>60</v>
      </c>
      <c r="H2" s="7" t="s">
        <v>61</v>
      </c>
      <c r="I2" s="8" t="s">
        <v>62</v>
      </c>
      <c r="J2" s="8" t="s">
        <v>62</v>
      </c>
      <c r="K2" s="3"/>
      <c r="M2" s="6" t="s">
        <v>57</v>
      </c>
      <c r="N2" s="6" t="s">
        <v>63</v>
      </c>
    </row>
    <row r="3" spans="1:14" ht="42" customHeight="1" x14ac:dyDescent="0.25">
      <c r="A3" s="9" t="s">
        <v>64</v>
      </c>
      <c r="B3" s="9" t="s">
        <v>10</v>
      </c>
      <c r="C3" s="9" t="s">
        <v>65</v>
      </c>
      <c r="D3" s="9" t="s">
        <v>66</v>
      </c>
      <c r="E3" s="9" t="s">
        <v>58</v>
      </c>
      <c r="F3" s="9" t="s">
        <v>67</v>
      </c>
      <c r="G3" s="9" t="s">
        <v>68</v>
      </c>
      <c r="H3" s="10" t="s">
        <v>61</v>
      </c>
      <c r="I3" s="8" t="s">
        <v>62</v>
      </c>
      <c r="J3" s="8" t="s">
        <v>62</v>
      </c>
      <c r="K3" s="9"/>
      <c r="M3" s="6" t="s">
        <v>69</v>
      </c>
      <c r="N3" s="6" t="s">
        <v>70</v>
      </c>
    </row>
    <row r="4" spans="1:14" ht="42" customHeight="1" x14ac:dyDescent="0.25">
      <c r="A4" s="3" t="s">
        <v>71</v>
      </c>
      <c r="B4" s="3" t="s">
        <v>10</v>
      </c>
      <c r="C4" s="3" t="s">
        <v>72</v>
      </c>
      <c r="D4" s="3" t="s">
        <v>57</v>
      </c>
      <c r="E4" s="3" t="s">
        <v>58</v>
      </c>
      <c r="F4" s="3" t="s">
        <v>73</v>
      </c>
      <c r="G4" s="3" t="s">
        <v>74</v>
      </c>
      <c r="H4" s="11" t="s">
        <v>75</v>
      </c>
      <c r="I4" s="8" t="s">
        <v>62</v>
      </c>
      <c r="J4" s="8" t="s">
        <v>62</v>
      </c>
      <c r="K4" s="3"/>
      <c r="M4" s="6" t="s">
        <v>76</v>
      </c>
      <c r="N4" s="6" t="s">
        <v>77</v>
      </c>
    </row>
    <row r="5" spans="1:14" ht="42" customHeight="1" x14ac:dyDescent="0.25">
      <c r="A5" s="3" t="s">
        <v>78</v>
      </c>
      <c r="B5" s="3" t="s">
        <v>10</v>
      </c>
      <c r="C5" s="3" t="s">
        <v>79</v>
      </c>
      <c r="D5" s="3" t="s">
        <v>57</v>
      </c>
      <c r="E5" s="3" t="s">
        <v>58</v>
      </c>
      <c r="F5" s="3" t="s">
        <v>80</v>
      </c>
      <c r="G5" s="3" t="s">
        <v>81</v>
      </c>
      <c r="H5" s="11" t="s">
        <v>75</v>
      </c>
      <c r="I5" s="8" t="s">
        <v>62</v>
      </c>
      <c r="J5" s="8" t="s">
        <v>62</v>
      </c>
      <c r="K5" s="3"/>
      <c r="M5" s="6" t="s">
        <v>82</v>
      </c>
      <c r="N5" s="6" t="s">
        <v>83</v>
      </c>
    </row>
    <row r="6" spans="1:14" ht="42" customHeight="1" x14ac:dyDescent="0.25">
      <c r="A6" s="3" t="s">
        <v>84</v>
      </c>
      <c r="B6" s="3" t="s">
        <v>10</v>
      </c>
      <c r="C6" s="3" t="s">
        <v>85</v>
      </c>
      <c r="D6" s="3" t="s">
        <v>57</v>
      </c>
      <c r="E6" s="3" t="s">
        <v>58</v>
      </c>
      <c r="F6" s="3" t="s">
        <v>86</v>
      </c>
      <c r="G6" s="3" t="s">
        <v>87</v>
      </c>
      <c r="H6" s="11" t="s">
        <v>75</v>
      </c>
      <c r="I6" s="8" t="s">
        <v>62</v>
      </c>
      <c r="J6" s="8" t="s">
        <v>62</v>
      </c>
      <c r="K6" s="3"/>
    </row>
    <row r="7" spans="1:14" ht="42" customHeight="1" x14ac:dyDescent="0.25">
      <c r="A7" s="3" t="s">
        <v>88</v>
      </c>
      <c r="B7" s="3" t="s">
        <v>10</v>
      </c>
      <c r="C7" s="3" t="s">
        <v>89</v>
      </c>
      <c r="D7" s="3" t="s">
        <v>57</v>
      </c>
      <c r="E7" s="3" t="s">
        <v>58</v>
      </c>
      <c r="F7" s="3" t="s">
        <v>90</v>
      </c>
      <c r="G7" s="3" t="s">
        <v>91</v>
      </c>
      <c r="H7" s="11" t="s">
        <v>75</v>
      </c>
      <c r="I7" s="8" t="s">
        <v>62</v>
      </c>
      <c r="J7" s="8" t="s">
        <v>62</v>
      </c>
      <c r="K7" s="3"/>
    </row>
    <row r="8" spans="1:14" ht="42" customHeight="1" x14ac:dyDescent="0.25">
      <c r="A8" s="3" t="s">
        <v>92</v>
      </c>
      <c r="B8" s="3" t="s">
        <v>13</v>
      </c>
      <c r="C8" s="3" t="s">
        <v>93</v>
      </c>
      <c r="D8" s="3" t="s">
        <v>57</v>
      </c>
      <c r="E8" s="3" t="s">
        <v>58</v>
      </c>
      <c r="F8" s="3" t="s">
        <v>94</v>
      </c>
      <c r="G8" s="3" t="s">
        <v>95</v>
      </c>
      <c r="H8" s="7" t="s">
        <v>61</v>
      </c>
      <c r="I8" s="8" t="s">
        <v>62</v>
      </c>
      <c r="J8" s="8" t="s">
        <v>62</v>
      </c>
      <c r="K8" s="3"/>
    </row>
    <row r="9" spans="1:14" ht="42" customHeight="1" x14ac:dyDescent="0.25">
      <c r="A9" s="12" t="s">
        <v>96</v>
      </c>
      <c r="B9" s="12" t="s">
        <v>13</v>
      </c>
      <c r="C9" s="12" t="s">
        <v>97</v>
      </c>
      <c r="D9" s="12" t="s">
        <v>69</v>
      </c>
      <c r="E9" s="12" t="s">
        <v>58</v>
      </c>
      <c r="F9" s="12" t="s">
        <v>98</v>
      </c>
      <c r="G9" s="12" t="s">
        <v>99</v>
      </c>
      <c r="H9" s="13" t="s">
        <v>61</v>
      </c>
      <c r="I9" s="8" t="s">
        <v>62</v>
      </c>
      <c r="J9" s="8" t="s">
        <v>62</v>
      </c>
      <c r="K9" s="12"/>
    </row>
    <row r="10" spans="1:14" ht="42" customHeight="1" x14ac:dyDescent="0.25">
      <c r="A10" s="12" t="s">
        <v>100</v>
      </c>
      <c r="B10" s="12" t="s">
        <v>13</v>
      </c>
      <c r="C10" s="12" t="s">
        <v>101</v>
      </c>
      <c r="D10" s="12" t="s">
        <v>69</v>
      </c>
      <c r="E10" s="12" t="s">
        <v>58</v>
      </c>
      <c r="F10" s="12" t="s">
        <v>102</v>
      </c>
      <c r="G10" s="12" t="s">
        <v>103</v>
      </c>
      <c r="H10" s="13" t="s">
        <v>61</v>
      </c>
      <c r="I10" s="8" t="s">
        <v>62</v>
      </c>
      <c r="J10" s="8" t="s">
        <v>62</v>
      </c>
      <c r="K10" s="12"/>
    </row>
    <row r="11" spans="1:14" ht="42" customHeight="1" x14ac:dyDescent="0.25">
      <c r="A11" s="3" t="s">
        <v>104</v>
      </c>
      <c r="B11" s="3" t="s">
        <v>13</v>
      </c>
      <c r="C11" s="3" t="s">
        <v>105</v>
      </c>
      <c r="D11" s="3" t="s">
        <v>57</v>
      </c>
      <c r="E11" s="3" t="s">
        <v>106</v>
      </c>
      <c r="F11" s="3" t="s">
        <v>107</v>
      </c>
      <c r="G11" s="3" t="s">
        <v>108</v>
      </c>
      <c r="H11" s="7" t="s">
        <v>61</v>
      </c>
      <c r="I11" s="8" t="s">
        <v>62</v>
      </c>
      <c r="J11" s="8" t="s">
        <v>62</v>
      </c>
      <c r="K11" s="3"/>
    </row>
    <row r="12" spans="1:14" ht="42" customHeight="1" x14ac:dyDescent="0.25">
      <c r="A12" s="9" t="s">
        <v>109</v>
      </c>
      <c r="B12" s="9" t="s">
        <v>13</v>
      </c>
      <c r="C12" s="9" t="s">
        <v>110</v>
      </c>
      <c r="D12" s="9" t="s">
        <v>76</v>
      </c>
      <c r="E12" s="9" t="s">
        <v>58</v>
      </c>
      <c r="F12" s="9" t="s">
        <v>111</v>
      </c>
      <c r="G12" s="9" t="s">
        <v>112</v>
      </c>
      <c r="H12" s="14" t="s">
        <v>75</v>
      </c>
      <c r="I12" s="8" t="s">
        <v>62</v>
      </c>
      <c r="J12" s="8" t="s">
        <v>62</v>
      </c>
      <c r="K12" s="9"/>
    </row>
    <row r="13" spans="1:14" ht="42" customHeight="1" x14ac:dyDescent="0.25">
      <c r="A13" s="3" t="s">
        <v>113</v>
      </c>
      <c r="B13" s="3" t="s">
        <v>16</v>
      </c>
      <c r="C13" s="3" t="s">
        <v>114</v>
      </c>
      <c r="D13" s="3" t="s">
        <v>57</v>
      </c>
      <c r="E13" s="3" t="s">
        <v>58</v>
      </c>
      <c r="F13" s="3" t="s">
        <v>115</v>
      </c>
      <c r="G13" s="3" t="s">
        <v>116</v>
      </c>
      <c r="H13" s="7" t="s">
        <v>61</v>
      </c>
      <c r="I13" s="8" t="s">
        <v>62</v>
      </c>
      <c r="J13" s="8" t="s">
        <v>62</v>
      </c>
      <c r="K13" s="3"/>
    </row>
    <row r="14" spans="1:14" ht="42" customHeight="1" x14ac:dyDescent="0.25">
      <c r="A14" s="12" t="s">
        <v>117</v>
      </c>
      <c r="B14" s="12" t="s">
        <v>16</v>
      </c>
      <c r="C14" s="12" t="s">
        <v>97</v>
      </c>
      <c r="D14" s="12" t="s">
        <v>69</v>
      </c>
      <c r="E14" s="12" t="s">
        <v>58</v>
      </c>
      <c r="F14" s="12" t="s">
        <v>118</v>
      </c>
      <c r="G14" s="12" t="s">
        <v>119</v>
      </c>
      <c r="H14" s="13" t="s">
        <v>61</v>
      </c>
      <c r="I14" s="8" t="s">
        <v>62</v>
      </c>
      <c r="J14" s="8" t="s">
        <v>62</v>
      </c>
      <c r="K14" s="12"/>
    </row>
    <row r="15" spans="1:14" ht="42" customHeight="1" x14ac:dyDescent="0.25">
      <c r="A15" s="12" t="s">
        <v>120</v>
      </c>
      <c r="B15" s="12" t="s">
        <v>16</v>
      </c>
      <c r="C15" s="12" t="s">
        <v>121</v>
      </c>
      <c r="D15" s="12" t="s">
        <v>69</v>
      </c>
      <c r="E15" s="12" t="s">
        <v>58</v>
      </c>
      <c r="F15" s="12" t="s">
        <v>122</v>
      </c>
      <c r="G15" s="12" t="s">
        <v>123</v>
      </c>
      <c r="H15" s="13" t="s">
        <v>61</v>
      </c>
      <c r="I15" s="8" t="s">
        <v>62</v>
      </c>
      <c r="J15" s="8" t="s">
        <v>62</v>
      </c>
      <c r="K15" s="12"/>
    </row>
    <row r="16" spans="1:14" ht="42" customHeight="1" x14ac:dyDescent="0.25">
      <c r="A16" s="3" t="s">
        <v>124</v>
      </c>
      <c r="B16" s="3" t="s">
        <v>16</v>
      </c>
      <c r="C16" s="3" t="s">
        <v>125</v>
      </c>
      <c r="D16" s="3" t="s">
        <v>57</v>
      </c>
      <c r="E16" s="3" t="s">
        <v>126</v>
      </c>
      <c r="F16" s="3" t="s">
        <v>127</v>
      </c>
      <c r="G16" s="3" t="s">
        <v>128</v>
      </c>
      <c r="H16" s="7" t="s">
        <v>61</v>
      </c>
      <c r="I16" s="8" t="s">
        <v>62</v>
      </c>
      <c r="J16" s="8" t="s">
        <v>62</v>
      </c>
      <c r="K16" s="3"/>
    </row>
    <row r="17" spans="1:11" ht="42" customHeight="1" x14ac:dyDescent="0.25">
      <c r="A17" s="3" t="s">
        <v>129</v>
      </c>
      <c r="B17" s="3" t="s">
        <v>19</v>
      </c>
      <c r="C17" s="3" t="s">
        <v>130</v>
      </c>
      <c r="D17" s="3" t="s">
        <v>57</v>
      </c>
      <c r="E17" s="3" t="s">
        <v>131</v>
      </c>
      <c r="F17" s="3" t="s">
        <v>132</v>
      </c>
      <c r="G17" s="3" t="s">
        <v>133</v>
      </c>
      <c r="H17" s="7" t="s">
        <v>61</v>
      </c>
      <c r="I17" s="8" t="s">
        <v>62</v>
      </c>
      <c r="J17" s="8" t="s">
        <v>62</v>
      </c>
      <c r="K17" s="3"/>
    </row>
    <row r="18" spans="1:11" ht="42" customHeight="1" x14ac:dyDescent="0.25">
      <c r="A18" s="3" t="s">
        <v>134</v>
      </c>
      <c r="B18" s="3" t="s">
        <v>19</v>
      </c>
      <c r="C18" s="3" t="s">
        <v>135</v>
      </c>
      <c r="D18" s="3" t="s">
        <v>57</v>
      </c>
      <c r="E18" s="3" t="s">
        <v>136</v>
      </c>
      <c r="F18" s="3" t="s">
        <v>137</v>
      </c>
      <c r="G18" s="3" t="s">
        <v>138</v>
      </c>
      <c r="H18" s="7" t="s">
        <v>61</v>
      </c>
      <c r="I18" s="8" t="s">
        <v>62</v>
      </c>
      <c r="J18" s="8" t="s">
        <v>62</v>
      </c>
      <c r="K18" s="3"/>
    </row>
    <row r="19" spans="1:11" ht="42" customHeight="1" x14ac:dyDescent="0.25">
      <c r="A19" s="3" t="s">
        <v>139</v>
      </c>
      <c r="B19" s="3" t="s">
        <v>19</v>
      </c>
      <c r="C19" s="3" t="s">
        <v>140</v>
      </c>
      <c r="D19" s="3" t="s">
        <v>57</v>
      </c>
      <c r="E19" s="3" t="s">
        <v>136</v>
      </c>
      <c r="F19" s="3" t="s">
        <v>141</v>
      </c>
      <c r="G19" s="3" t="s">
        <v>142</v>
      </c>
      <c r="H19" s="7" t="s">
        <v>61</v>
      </c>
      <c r="I19" s="8" t="s">
        <v>62</v>
      </c>
      <c r="J19" s="8" t="s">
        <v>62</v>
      </c>
      <c r="K19" s="3"/>
    </row>
    <row r="20" spans="1:11" ht="42" customHeight="1" x14ac:dyDescent="0.25">
      <c r="A20" s="3" t="s">
        <v>143</v>
      </c>
      <c r="B20" s="3" t="s">
        <v>19</v>
      </c>
      <c r="C20" s="3" t="s">
        <v>144</v>
      </c>
      <c r="D20" s="3" t="s">
        <v>57</v>
      </c>
      <c r="E20" s="3" t="s">
        <v>136</v>
      </c>
      <c r="F20" s="3" t="s">
        <v>145</v>
      </c>
      <c r="G20" s="3" t="s">
        <v>146</v>
      </c>
      <c r="H20" s="7" t="s">
        <v>61</v>
      </c>
      <c r="I20" s="8" t="s">
        <v>62</v>
      </c>
      <c r="J20" s="8" t="s">
        <v>62</v>
      </c>
      <c r="K20" s="3"/>
    </row>
    <row r="21" spans="1:11" ht="42" customHeight="1" x14ac:dyDescent="0.25">
      <c r="A21" s="3" t="s">
        <v>147</v>
      </c>
      <c r="B21" s="3" t="s">
        <v>19</v>
      </c>
      <c r="C21" s="3" t="s">
        <v>148</v>
      </c>
      <c r="D21" s="3" t="s">
        <v>57</v>
      </c>
      <c r="E21" s="3" t="s">
        <v>136</v>
      </c>
      <c r="F21" s="3" t="s">
        <v>149</v>
      </c>
      <c r="G21" s="3" t="s">
        <v>150</v>
      </c>
      <c r="H21" s="11" t="s">
        <v>75</v>
      </c>
      <c r="I21" s="8" t="s">
        <v>62</v>
      </c>
      <c r="J21" s="8" t="s">
        <v>62</v>
      </c>
      <c r="K21" s="3"/>
    </row>
    <row r="22" spans="1:11" ht="42" customHeight="1" x14ac:dyDescent="0.25">
      <c r="A22" s="3" t="s">
        <v>151</v>
      </c>
      <c r="B22" s="3" t="s">
        <v>19</v>
      </c>
      <c r="C22" s="3" t="s">
        <v>152</v>
      </c>
      <c r="D22" s="3" t="s">
        <v>57</v>
      </c>
      <c r="E22" s="3" t="s">
        <v>136</v>
      </c>
      <c r="F22" s="3" t="s">
        <v>153</v>
      </c>
      <c r="G22" s="3" t="s">
        <v>154</v>
      </c>
      <c r="H22" s="7" t="s">
        <v>61</v>
      </c>
      <c r="I22" s="8" t="s">
        <v>62</v>
      </c>
      <c r="J22" s="8" t="s">
        <v>62</v>
      </c>
      <c r="K22" s="3"/>
    </row>
    <row r="23" spans="1:11" ht="42" customHeight="1" x14ac:dyDescent="0.25">
      <c r="A23" s="15" t="s">
        <v>155</v>
      </c>
      <c r="B23" s="15" t="s">
        <v>19</v>
      </c>
      <c r="C23" s="15" t="s">
        <v>156</v>
      </c>
      <c r="D23" s="15" t="s">
        <v>157</v>
      </c>
      <c r="E23" s="15" t="s">
        <v>136</v>
      </c>
      <c r="F23" s="15" t="s">
        <v>158</v>
      </c>
      <c r="G23" s="15" t="s">
        <v>159</v>
      </c>
      <c r="H23" s="16" t="s">
        <v>75</v>
      </c>
      <c r="I23" s="8" t="s">
        <v>62</v>
      </c>
      <c r="J23" s="8" t="s">
        <v>62</v>
      </c>
      <c r="K23" s="15"/>
    </row>
    <row r="24" spans="1:11" ht="42" customHeight="1" x14ac:dyDescent="0.25">
      <c r="A24" s="9" t="s">
        <v>160</v>
      </c>
      <c r="B24" s="9" t="s">
        <v>19</v>
      </c>
      <c r="C24" s="9" t="s">
        <v>161</v>
      </c>
      <c r="D24" s="9" t="s">
        <v>76</v>
      </c>
      <c r="E24" s="9" t="s">
        <v>136</v>
      </c>
      <c r="F24" s="9" t="s">
        <v>162</v>
      </c>
      <c r="G24" s="9" t="s">
        <v>163</v>
      </c>
      <c r="H24" s="10" t="s">
        <v>61</v>
      </c>
      <c r="I24" s="8" t="s">
        <v>62</v>
      </c>
      <c r="J24" s="8" t="s">
        <v>62</v>
      </c>
      <c r="K24" s="9"/>
    </row>
    <row r="25" spans="1:11" ht="42" customHeight="1" x14ac:dyDescent="0.25">
      <c r="A25" s="3" t="s">
        <v>164</v>
      </c>
      <c r="B25" s="3" t="s">
        <v>22</v>
      </c>
      <c r="C25" s="3" t="s">
        <v>165</v>
      </c>
      <c r="D25" s="3" t="s">
        <v>57</v>
      </c>
      <c r="E25" s="3" t="s">
        <v>166</v>
      </c>
      <c r="F25" s="3" t="s">
        <v>167</v>
      </c>
      <c r="G25" s="3" t="s">
        <v>168</v>
      </c>
      <c r="H25" s="7" t="s">
        <v>61</v>
      </c>
      <c r="I25" s="8" t="s">
        <v>62</v>
      </c>
      <c r="J25" s="8" t="s">
        <v>62</v>
      </c>
      <c r="K25" s="3"/>
    </row>
    <row r="26" spans="1:11" ht="42" customHeight="1" x14ac:dyDescent="0.25">
      <c r="A26" s="17" t="s">
        <v>169</v>
      </c>
      <c r="B26" s="17" t="s">
        <v>22</v>
      </c>
      <c r="C26" s="17" t="s">
        <v>170</v>
      </c>
      <c r="D26" s="17" t="s">
        <v>82</v>
      </c>
      <c r="E26" s="17" t="s">
        <v>166</v>
      </c>
      <c r="F26" s="17" t="s">
        <v>171</v>
      </c>
      <c r="G26" s="17" t="s">
        <v>172</v>
      </c>
      <c r="H26" s="18" t="s">
        <v>75</v>
      </c>
      <c r="I26" s="8" t="s">
        <v>62</v>
      </c>
      <c r="J26" s="8" t="s">
        <v>62</v>
      </c>
      <c r="K26" s="17"/>
    </row>
    <row r="27" spans="1:11" ht="42" customHeight="1" x14ac:dyDescent="0.25">
      <c r="A27" s="9" t="s">
        <v>173</v>
      </c>
      <c r="B27" s="9" t="s">
        <v>22</v>
      </c>
      <c r="C27" s="9" t="s">
        <v>174</v>
      </c>
      <c r="D27" s="9" t="s">
        <v>76</v>
      </c>
      <c r="E27" s="9" t="s">
        <v>166</v>
      </c>
      <c r="F27" s="9" t="s">
        <v>175</v>
      </c>
      <c r="G27" s="9" t="s">
        <v>176</v>
      </c>
      <c r="H27" s="10" t="s">
        <v>61</v>
      </c>
      <c r="I27" s="8" t="s">
        <v>62</v>
      </c>
      <c r="J27" s="8" t="s">
        <v>62</v>
      </c>
      <c r="K27" s="9"/>
    </row>
    <row r="28" spans="1:11" ht="42" customHeight="1" x14ac:dyDescent="0.25">
      <c r="A28" s="15" t="s">
        <v>177</v>
      </c>
      <c r="B28" s="15" t="s">
        <v>22</v>
      </c>
      <c r="C28" s="15" t="s">
        <v>178</v>
      </c>
      <c r="D28" s="15" t="s">
        <v>157</v>
      </c>
      <c r="E28" s="15" t="s">
        <v>166</v>
      </c>
      <c r="F28" s="15" t="s">
        <v>179</v>
      </c>
      <c r="G28" s="15" t="s">
        <v>180</v>
      </c>
      <c r="H28" s="16" t="s">
        <v>75</v>
      </c>
      <c r="I28" s="8" t="s">
        <v>62</v>
      </c>
      <c r="J28" s="8" t="s">
        <v>62</v>
      </c>
      <c r="K28" s="15"/>
    </row>
    <row r="29" spans="1:11" ht="42" customHeight="1" x14ac:dyDescent="0.25">
      <c r="A29" s="3" t="s">
        <v>181</v>
      </c>
      <c r="B29" s="3" t="s">
        <v>25</v>
      </c>
      <c r="C29" s="3" t="s">
        <v>182</v>
      </c>
      <c r="D29" s="3" t="s">
        <v>57</v>
      </c>
      <c r="E29" s="3" t="s">
        <v>183</v>
      </c>
      <c r="F29" s="3" t="s">
        <v>184</v>
      </c>
      <c r="G29" s="3" t="s">
        <v>185</v>
      </c>
      <c r="H29" s="7" t="s">
        <v>61</v>
      </c>
      <c r="I29" s="8" t="s">
        <v>62</v>
      </c>
      <c r="J29" s="8" t="s">
        <v>62</v>
      </c>
      <c r="K29" s="3"/>
    </row>
    <row r="30" spans="1:11" ht="42" customHeight="1" x14ac:dyDescent="0.25">
      <c r="A30" s="12" t="s">
        <v>186</v>
      </c>
      <c r="B30" s="12" t="s">
        <v>25</v>
      </c>
      <c r="C30" s="12" t="s">
        <v>187</v>
      </c>
      <c r="D30" s="12" t="s">
        <v>69</v>
      </c>
      <c r="E30" s="12" t="s">
        <v>188</v>
      </c>
      <c r="F30" s="12" t="s">
        <v>189</v>
      </c>
      <c r="G30" s="12" t="s">
        <v>190</v>
      </c>
      <c r="H30" s="13" t="s">
        <v>61</v>
      </c>
      <c r="I30" s="8" t="s">
        <v>62</v>
      </c>
      <c r="J30" s="8" t="s">
        <v>62</v>
      </c>
      <c r="K30" s="12"/>
    </row>
    <row r="31" spans="1:11" ht="42" customHeight="1" x14ac:dyDescent="0.25">
      <c r="A31" s="12" t="s">
        <v>191</v>
      </c>
      <c r="B31" s="12" t="s">
        <v>25</v>
      </c>
      <c r="C31" s="12" t="s">
        <v>192</v>
      </c>
      <c r="D31" s="12" t="s">
        <v>69</v>
      </c>
      <c r="E31" s="12" t="s">
        <v>188</v>
      </c>
      <c r="F31" s="12" t="s">
        <v>193</v>
      </c>
      <c r="G31" s="12" t="s">
        <v>194</v>
      </c>
      <c r="H31" s="19" t="s">
        <v>75</v>
      </c>
      <c r="I31" s="8" t="s">
        <v>62</v>
      </c>
      <c r="J31" s="8" t="s">
        <v>62</v>
      </c>
      <c r="K31" s="12"/>
    </row>
    <row r="32" spans="1:11" ht="42" customHeight="1" x14ac:dyDescent="0.25">
      <c r="A32" s="3" t="s">
        <v>195</v>
      </c>
      <c r="B32" s="3" t="s">
        <v>25</v>
      </c>
      <c r="C32" s="3" t="s">
        <v>196</v>
      </c>
      <c r="D32" s="3" t="s">
        <v>57</v>
      </c>
      <c r="E32" s="3" t="s">
        <v>197</v>
      </c>
      <c r="F32" s="3" t="s">
        <v>198</v>
      </c>
      <c r="G32" s="3" t="s">
        <v>199</v>
      </c>
      <c r="H32" s="7" t="s">
        <v>61</v>
      </c>
      <c r="I32" s="8" t="s">
        <v>62</v>
      </c>
      <c r="J32" s="8" t="s">
        <v>62</v>
      </c>
      <c r="K32" s="3"/>
    </row>
    <row r="33" spans="1:11" ht="42" customHeight="1" x14ac:dyDescent="0.25">
      <c r="A33" s="3" t="s">
        <v>200</v>
      </c>
      <c r="B33" s="3" t="s">
        <v>28</v>
      </c>
      <c r="C33" s="3" t="s">
        <v>201</v>
      </c>
      <c r="D33" s="3" t="s">
        <v>57</v>
      </c>
      <c r="E33" s="3" t="s">
        <v>131</v>
      </c>
      <c r="F33" s="3" t="s">
        <v>202</v>
      </c>
      <c r="G33" s="3" t="s">
        <v>203</v>
      </c>
      <c r="H33" s="11" t="s">
        <v>75</v>
      </c>
      <c r="I33" s="8" t="s">
        <v>62</v>
      </c>
      <c r="J33" s="8" t="s">
        <v>62</v>
      </c>
      <c r="K33" s="3"/>
    </row>
    <row r="34" spans="1:11" ht="42" customHeight="1" x14ac:dyDescent="0.25">
      <c r="A34" s="17" t="s">
        <v>204</v>
      </c>
      <c r="B34" s="17" t="s">
        <v>28</v>
      </c>
      <c r="C34" s="17" t="s">
        <v>205</v>
      </c>
      <c r="D34" s="17" t="s">
        <v>57</v>
      </c>
      <c r="E34" s="17" t="s">
        <v>206</v>
      </c>
      <c r="F34" s="17" t="s">
        <v>207</v>
      </c>
      <c r="G34" s="17" t="s">
        <v>208</v>
      </c>
      <c r="H34" s="20" t="s">
        <v>209</v>
      </c>
      <c r="I34" s="8" t="s">
        <v>62</v>
      </c>
      <c r="J34" s="8" t="s">
        <v>62</v>
      </c>
      <c r="K34" s="17"/>
    </row>
    <row r="35" spans="1:11" ht="42" customHeight="1" x14ac:dyDescent="0.25">
      <c r="A35" s="3" t="s">
        <v>210</v>
      </c>
      <c r="B35" s="3" t="s">
        <v>31</v>
      </c>
      <c r="C35" s="3" t="s">
        <v>211</v>
      </c>
      <c r="D35" s="3" t="s">
        <v>57</v>
      </c>
      <c r="E35" s="3" t="s">
        <v>131</v>
      </c>
      <c r="F35" s="3" t="s">
        <v>212</v>
      </c>
      <c r="G35" s="3" t="s">
        <v>213</v>
      </c>
      <c r="H35" s="7" t="s">
        <v>61</v>
      </c>
      <c r="I35" s="8" t="s">
        <v>62</v>
      </c>
      <c r="J35" s="8" t="s">
        <v>62</v>
      </c>
      <c r="K35" s="3"/>
    </row>
    <row r="36" spans="1:11" ht="42" customHeight="1" x14ac:dyDescent="0.25">
      <c r="A36" s="3" t="s">
        <v>214</v>
      </c>
      <c r="B36" s="3" t="s">
        <v>31</v>
      </c>
      <c r="C36" s="3" t="s">
        <v>140</v>
      </c>
      <c r="D36" s="3" t="s">
        <v>57</v>
      </c>
      <c r="E36" s="3" t="s">
        <v>215</v>
      </c>
      <c r="F36" s="3" t="s">
        <v>216</v>
      </c>
      <c r="G36" s="3" t="s">
        <v>217</v>
      </c>
      <c r="H36" s="7" t="s">
        <v>61</v>
      </c>
      <c r="I36" s="8" t="s">
        <v>62</v>
      </c>
      <c r="J36" s="8" t="s">
        <v>62</v>
      </c>
      <c r="K36" s="3"/>
    </row>
    <row r="37" spans="1:11" ht="42" customHeight="1" x14ac:dyDescent="0.25">
      <c r="A37" s="3" t="s">
        <v>218</v>
      </c>
      <c r="B37" s="3" t="s">
        <v>31</v>
      </c>
      <c r="C37" s="3" t="s">
        <v>135</v>
      </c>
      <c r="D37" s="3" t="s">
        <v>57</v>
      </c>
      <c r="E37" s="3" t="s">
        <v>215</v>
      </c>
      <c r="F37" s="3" t="s">
        <v>219</v>
      </c>
      <c r="G37" s="3" t="s">
        <v>220</v>
      </c>
      <c r="H37" s="7" t="s">
        <v>61</v>
      </c>
      <c r="I37" s="8" t="s">
        <v>62</v>
      </c>
      <c r="J37" s="8" t="s">
        <v>62</v>
      </c>
      <c r="K37" s="3"/>
    </row>
    <row r="38" spans="1:11" ht="42" customHeight="1" x14ac:dyDescent="0.25">
      <c r="A38" s="3" t="s">
        <v>221</v>
      </c>
      <c r="B38" s="3" t="s">
        <v>31</v>
      </c>
      <c r="C38" s="3" t="s">
        <v>148</v>
      </c>
      <c r="D38" s="3" t="s">
        <v>57</v>
      </c>
      <c r="E38" s="3" t="s">
        <v>222</v>
      </c>
      <c r="F38" s="3" t="s">
        <v>223</v>
      </c>
      <c r="G38" s="3" t="s">
        <v>224</v>
      </c>
      <c r="H38" s="11" t="s">
        <v>75</v>
      </c>
      <c r="I38" s="8" t="s">
        <v>586</v>
      </c>
      <c r="J38" s="8" t="s">
        <v>62</v>
      </c>
      <c r="K38" s="3" t="s">
        <v>225</v>
      </c>
    </row>
    <row r="39" spans="1:11" ht="42" customHeight="1" x14ac:dyDescent="0.25">
      <c r="A39" s="15" t="s">
        <v>226</v>
      </c>
      <c r="B39" s="15" t="s">
        <v>31</v>
      </c>
      <c r="C39" s="15" t="s">
        <v>156</v>
      </c>
      <c r="D39" s="15" t="s">
        <v>157</v>
      </c>
      <c r="E39" s="15" t="s">
        <v>215</v>
      </c>
      <c r="F39" s="15" t="s">
        <v>158</v>
      </c>
      <c r="G39" s="15" t="s">
        <v>227</v>
      </c>
      <c r="H39" s="16" t="s">
        <v>75</v>
      </c>
      <c r="I39" s="8" t="s">
        <v>62</v>
      </c>
      <c r="J39" s="8" t="s">
        <v>62</v>
      </c>
      <c r="K39" s="15"/>
    </row>
    <row r="40" spans="1:11" ht="42" customHeight="1" x14ac:dyDescent="0.25">
      <c r="A40" s="3" t="s">
        <v>228</v>
      </c>
      <c r="B40" s="3" t="s">
        <v>33</v>
      </c>
      <c r="C40" s="3" t="s">
        <v>229</v>
      </c>
      <c r="D40" s="3" t="s">
        <v>57</v>
      </c>
      <c r="E40" s="3" t="s">
        <v>230</v>
      </c>
      <c r="F40" s="3" t="s">
        <v>231</v>
      </c>
      <c r="G40" s="3" t="s">
        <v>232</v>
      </c>
      <c r="H40" s="7" t="s">
        <v>61</v>
      </c>
      <c r="I40" s="8" t="s">
        <v>62</v>
      </c>
      <c r="J40" s="8" t="s">
        <v>62</v>
      </c>
      <c r="K40" s="3"/>
    </row>
    <row r="41" spans="1:11" ht="42" customHeight="1" x14ac:dyDescent="0.25">
      <c r="A41" s="3" t="s">
        <v>233</v>
      </c>
      <c r="B41" s="3" t="s">
        <v>33</v>
      </c>
      <c r="C41" s="3" t="s">
        <v>234</v>
      </c>
      <c r="D41" s="3" t="s">
        <v>57</v>
      </c>
      <c r="E41" s="3" t="s">
        <v>235</v>
      </c>
      <c r="F41" s="3" t="s">
        <v>236</v>
      </c>
      <c r="G41" s="3" t="s">
        <v>237</v>
      </c>
      <c r="H41" s="11" t="s">
        <v>75</v>
      </c>
      <c r="I41" s="8" t="s">
        <v>62</v>
      </c>
      <c r="J41" s="8" t="s">
        <v>62</v>
      </c>
      <c r="K41" s="3"/>
    </row>
    <row r="42" spans="1:11" ht="42" customHeight="1" x14ac:dyDescent="0.25">
      <c r="A42" s="12" t="s">
        <v>238</v>
      </c>
      <c r="B42" s="12" t="s">
        <v>33</v>
      </c>
      <c r="C42" s="12" t="s">
        <v>239</v>
      </c>
      <c r="D42" s="12" t="s">
        <v>57</v>
      </c>
      <c r="E42" s="12" t="s">
        <v>240</v>
      </c>
      <c r="F42" s="12" t="s">
        <v>241</v>
      </c>
      <c r="G42" s="12" t="s">
        <v>242</v>
      </c>
      <c r="H42" s="13" t="s">
        <v>61</v>
      </c>
      <c r="I42" s="8" t="s">
        <v>62</v>
      </c>
      <c r="J42" s="8" t="s">
        <v>62</v>
      </c>
      <c r="K42" s="12"/>
    </row>
    <row r="43" spans="1:11" ht="42" customHeight="1" x14ac:dyDescent="0.25">
      <c r="A43" s="3" t="s">
        <v>243</v>
      </c>
      <c r="B43" s="3" t="s">
        <v>33</v>
      </c>
      <c r="C43" s="3" t="s">
        <v>244</v>
      </c>
      <c r="D43" s="3" t="s">
        <v>157</v>
      </c>
      <c r="E43" s="3" t="s">
        <v>245</v>
      </c>
      <c r="F43" s="3" t="s">
        <v>246</v>
      </c>
      <c r="G43" s="3" t="s">
        <v>247</v>
      </c>
      <c r="H43" s="7" t="s">
        <v>61</v>
      </c>
      <c r="I43" s="8" t="s">
        <v>62</v>
      </c>
      <c r="J43" s="8" t="s">
        <v>62</v>
      </c>
      <c r="K43" s="3"/>
    </row>
    <row r="44" spans="1:11" ht="42" customHeight="1" x14ac:dyDescent="0.25">
      <c r="A44" s="15" t="s">
        <v>248</v>
      </c>
      <c r="B44" s="15" t="s">
        <v>33</v>
      </c>
      <c r="C44" s="15" t="s">
        <v>249</v>
      </c>
      <c r="D44" s="15" t="s">
        <v>157</v>
      </c>
      <c r="E44" s="15" t="s">
        <v>235</v>
      </c>
      <c r="F44" s="15" t="s">
        <v>250</v>
      </c>
      <c r="G44" s="15" t="s">
        <v>251</v>
      </c>
      <c r="H44" s="16" t="s">
        <v>75</v>
      </c>
      <c r="I44" s="8" t="s">
        <v>62</v>
      </c>
      <c r="J44" s="8" t="s">
        <v>62</v>
      </c>
      <c r="K44" s="15"/>
    </row>
    <row r="45" spans="1:11" ht="42" customHeight="1" x14ac:dyDescent="0.25">
      <c r="A45" s="15" t="s">
        <v>252</v>
      </c>
      <c r="B45" s="15" t="s">
        <v>33</v>
      </c>
      <c r="C45" s="15" t="s">
        <v>253</v>
      </c>
      <c r="D45" s="15" t="s">
        <v>157</v>
      </c>
      <c r="E45" s="15" t="s">
        <v>235</v>
      </c>
      <c r="F45" s="15" t="s">
        <v>254</v>
      </c>
      <c r="G45" s="15" t="s">
        <v>255</v>
      </c>
      <c r="H45" s="16" t="s">
        <v>75</v>
      </c>
      <c r="I45" s="8" t="s">
        <v>586</v>
      </c>
      <c r="J45" s="8" t="s">
        <v>62</v>
      </c>
      <c r="K45" s="15" t="s">
        <v>256</v>
      </c>
    </row>
    <row r="46" spans="1:11" ht="42" customHeight="1" x14ac:dyDescent="0.25">
      <c r="A46" s="3" t="s">
        <v>257</v>
      </c>
      <c r="B46" s="3" t="s">
        <v>35</v>
      </c>
      <c r="C46" s="3" t="s">
        <v>258</v>
      </c>
      <c r="D46" s="3" t="s">
        <v>57</v>
      </c>
      <c r="E46" s="3" t="s">
        <v>259</v>
      </c>
      <c r="F46" s="3" t="s">
        <v>260</v>
      </c>
      <c r="G46" s="3" t="s">
        <v>261</v>
      </c>
      <c r="H46" s="7" t="s">
        <v>61</v>
      </c>
      <c r="I46" s="8" t="s">
        <v>62</v>
      </c>
      <c r="J46" s="8" t="s">
        <v>62</v>
      </c>
      <c r="K46" s="3"/>
    </row>
    <row r="47" spans="1:11" ht="42" customHeight="1" x14ac:dyDescent="0.25">
      <c r="A47" s="3" t="s">
        <v>262</v>
      </c>
      <c r="B47" s="3" t="s">
        <v>35</v>
      </c>
      <c r="C47" s="3" t="s">
        <v>263</v>
      </c>
      <c r="D47" s="3" t="s">
        <v>57</v>
      </c>
      <c r="E47" s="3" t="s">
        <v>197</v>
      </c>
      <c r="F47" s="3" t="s">
        <v>264</v>
      </c>
      <c r="G47" s="3" t="s">
        <v>265</v>
      </c>
      <c r="H47" s="7" t="s">
        <v>61</v>
      </c>
      <c r="I47" s="8" t="s">
        <v>62</v>
      </c>
      <c r="J47" s="8" t="s">
        <v>62</v>
      </c>
      <c r="K47" s="3"/>
    </row>
    <row r="48" spans="1:11" ht="42" customHeight="1" x14ac:dyDescent="0.25">
      <c r="A48" s="3" t="s">
        <v>266</v>
      </c>
      <c r="B48" s="3" t="s">
        <v>35</v>
      </c>
      <c r="C48" s="3" t="s">
        <v>267</v>
      </c>
      <c r="D48" s="3" t="s">
        <v>57</v>
      </c>
      <c r="E48" s="3" t="s">
        <v>268</v>
      </c>
      <c r="F48" s="3" t="s">
        <v>269</v>
      </c>
      <c r="G48" s="3" t="s">
        <v>270</v>
      </c>
      <c r="H48" s="11" t="s">
        <v>75</v>
      </c>
      <c r="I48" s="8" t="s">
        <v>62</v>
      </c>
      <c r="J48" s="8" t="s">
        <v>62</v>
      </c>
      <c r="K48" s="3"/>
    </row>
    <row r="49" spans="1:11" ht="42" customHeight="1" x14ac:dyDescent="0.25">
      <c r="A49" s="12" t="s">
        <v>271</v>
      </c>
      <c r="B49" s="12" t="s">
        <v>35</v>
      </c>
      <c r="C49" s="12" t="s">
        <v>272</v>
      </c>
      <c r="D49" s="12" t="s">
        <v>69</v>
      </c>
      <c r="E49" s="12" t="s">
        <v>273</v>
      </c>
      <c r="F49" s="12" t="s">
        <v>274</v>
      </c>
      <c r="G49" s="12" t="s">
        <v>275</v>
      </c>
      <c r="H49" s="13" t="s">
        <v>61</v>
      </c>
      <c r="I49" s="8" t="s">
        <v>62</v>
      </c>
      <c r="J49" s="8" t="s">
        <v>62</v>
      </c>
      <c r="K49" s="12"/>
    </row>
    <row r="50" spans="1:11" ht="42" customHeight="1" x14ac:dyDescent="0.25">
      <c r="A50" s="3" t="s">
        <v>276</v>
      </c>
      <c r="B50" s="3" t="s">
        <v>35</v>
      </c>
      <c r="C50" s="3" t="s">
        <v>277</v>
      </c>
      <c r="D50" s="3" t="s">
        <v>57</v>
      </c>
      <c r="E50" s="3" t="s">
        <v>278</v>
      </c>
      <c r="F50" s="3" t="s">
        <v>279</v>
      </c>
      <c r="G50" s="3" t="s">
        <v>280</v>
      </c>
      <c r="H50" s="7" t="s">
        <v>61</v>
      </c>
      <c r="I50" s="8" t="s">
        <v>62</v>
      </c>
      <c r="J50" s="8" t="s">
        <v>62</v>
      </c>
      <c r="K50" s="3"/>
    </row>
    <row r="51" spans="1:11" ht="42" customHeight="1" x14ac:dyDescent="0.25">
      <c r="A51" s="3" t="s">
        <v>281</v>
      </c>
      <c r="B51" s="3" t="s">
        <v>37</v>
      </c>
      <c r="C51" s="3" t="s">
        <v>282</v>
      </c>
      <c r="D51" s="3" t="s">
        <v>57</v>
      </c>
      <c r="E51" s="3" t="s">
        <v>283</v>
      </c>
      <c r="F51" s="3" t="s">
        <v>284</v>
      </c>
      <c r="G51" s="3" t="s">
        <v>285</v>
      </c>
      <c r="H51" s="11" t="s">
        <v>75</v>
      </c>
      <c r="I51" s="8" t="s">
        <v>62</v>
      </c>
      <c r="J51" s="8" t="s">
        <v>62</v>
      </c>
      <c r="K51" s="3"/>
    </row>
    <row r="52" spans="1:11" ht="42" customHeight="1" x14ac:dyDescent="0.25">
      <c r="A52" s="9" t="s">
        <v>286</v>
      </c>
      <c r="B52" s="9" t="s">
        <v>37</v>
      </c>
      <c r="C52" s="9" t="s">
        <v>287</v>
      </c>
      <c r="D52" s="9" t="s">
        <v>76</v>
      </c>
      <c r="E52" s="9" t="s">
        <v>288</v>
      </c>
      <c r="F52" s="9" t="s">
        <v>289</v>
      </c>
      <c r="G52" s="9" t="s">
        <v>290</v>
      </c>
      <c r="H52" s="21" t="s">
        <v>209</v>
      </c>
      <c r="I52" s="8" t="s">
        <v>62</v>
      </c>
      <c r="J52" s="8" t="s">
        <v>62</v>
      </c>
      <c r="K52" s="9"/>
    </row>
    <row r="53" spans="1:11" ht="42" customHeight="1" x14ac:dyDescent="0.25">
      <c r="A53" s="3" t="s">
        <v>291</v>
      </c>
      <c r="B53" s="3" t="s">
        <v>39</v>
      </c>
      <c r="C53" s="3" t="s">
        <v>292</v>
      </c>
      <c r="D53" s="3" t="s">
        <v>57</v>
      </c>
      <c r="E53" s="3" t="s">
        <v>293</v>
      </c>
      <c r="F53" s="3" t="s">
        <v>294</v>
      </c>
      <c r="G53" s="3" t="s">
        <v>295</v>
      </c>
      <c r="H53" s="7" t="s">
        <v>61</v>
      </c>
      <c r="I53" s="8" t="s">
        <v>62</v>
      </c>
      <c r="J53" s="8" t="s">
        <v>62</v>
      </c>
      <c r="K53" s="3"/>
    </row>
    <row r="54" spans="1:11" ht="42" customHeight="1" x14ac:dyDescent="0.25">
      <c r="A54" s="3" t="s">
        <v>296</v>
      </c>
      <c r="B54" s="3" t="s">
        <v>39</v>
      </c>
      <c r="C54" s="3" t="s">
        <v>297</v>
      </c>
      <c r="D54" s="3" t="s">
        <v>57</v>
      </c>
      <c r="E54" s="3" t="s">
        <v>298</v>
      </c>
      <c r="F54" s="3" t="s">
        <v>299</v>
      </c>
      <c r="G54" s="3" t="s">
        <v>300</v>
      </c>
      <c r="H54" s="7" t="s">
        <v>61</v>
      </c>
      <c r="I54" s="8" t="s">
        <v>62</v>
      </c>
      <c r="J54" s="8" t="s">
        <v>62</v>
      </c>
      <c r="K54" s="3"/>
    </row>
    <row r="55" spans="1:11" ht="42" customHeight="1" x14ac:dyDescent="0.25">
      <c r="A55" s="3" t="s">
        <v>301</v>
      </c>
      <c r="B55" s="3" t="s">
        <v>39</v>
      </c>
      <c r="C55" s="3" t="s">
        <v>302</v>
      </c>
      <c r="D55" s="3" t="s">
        <v>57</v>
      </c>
      <c r="E55" s="3" t="s">
        <v>298</v>
      </c>
      <c r="F55" s="3" t="s">
        <v>303</v>
      </c>
      <c r="G55" s="3" t="s">
        <v>304</v>
      </c>
      <c r="H55" s="11" t="s">
        <v>75</v>
      </c>
      <c r="I55" s="8" t="s">
        <v>62</v>
      </c>
      <c r="J55" s="8" t="s">
        <v>62</v>
      </c>
      <c r="K55" s="3"/>
    </row>
    <row r="56" spans="1:11" ht="42" customHeight="1" x14ac:dyDescent="0.25">
      <c r="A56" s="3" t="s">
        <v>305</v>
      </c>
      <c r="B56" s="3" t="s">
        <v>39</v>
      </c>
      <c r="C56" s="3" t="s">
        <v>306</v>
      </c>
      <c r="D56" s="3" t="s">
        <v>57</v>
      </c>
      <c r="E56" s="3" t="s">
        <v>298</v>
      </c>
      <c r="F56" s="3" t="s">
        <v>307</v>
      </c>
      <c r="G56" s="3" t="s">
        <v>304</v>
      </c>
      <c r="H56" s="11" t="s">
        <v>75</v>
      </c>
      <c r="I56" s="8" t="s">
        <v>62</v>
      </c>
      <c r="J56" s="8" t="s">
        <v>62</v>
      </c>
      <c r="K56" s="3"/>
    </row>
    <row r="57" spans="1:11" ht="42" customHeight="1" x14ac:dyDescent="0.25">
      <c r="A57" s="3" t="s">
        <v>308</v>
      </c>
      <c r="B57" s="3" t="s">
        <v>39</v>
      </c>
      <c r="C57" s="3" t="s">
        <v>309</v>
      </c>
      <c r="D57" s="3" t="s">
        <v>57</v>
      </c>
      <c r="E57" s="3" t="s">
        <v>298</v>
      </c>
      <c r="F57" s="3" t="s">
        <v>310</v>
      </c>
      <c r="G57" s="3" t="s">
        <v>311</v>
      </c>
      <c r="H57" s="11" t="s">
        <v>75</v>
      </c>
      <c r="I57" s="8" t="s">
        <v>62</v>
      </c>
      <c r="J57" s="8" t="s">
        <v>62</v>
      </c>
      <c r="K57" s="3"/>
    </row>
    <row r="58" spans="1:11" ht="42" customHeight="1" x14ac:dyDescent="0.25">
      <c r="A58" s="9" t="s">
        <v>312</v>
      </c>
      <c r="B58" s="9" t="s">
        <v>41</v>
      </c>
      <c r="C58" s="9" t="s">
        <v>313</v>
      </c>
      <c r="D58" s="9" t="s">
        <v>76</v>
      </c>
      <c r="E58" s="9" t="s">
        <v>58</v>
      </c>
      <c r="F58" s="9" t="s">
        <v>314</v>
      </c>
      <c r="G58" s="9" t="s">
        <v>315</v>
      </c>
      <c r="H58" s="10" t="s">
        <v>61</v>
      </c>
      <c r="I58" s="8" t="s">
        <v>62</v>
      </c>
      <c r="J58" s="8" t="s">
        <v>62</v>
      </c>
      <c r="K58" s="9"/>
    </row>
    <row r="59" spans="1:11" ht="42" customHeight="1" x14ac:dyDescent="0.25">
      <c r="A59" s="9" t="s">
        <v>316</v>
      </c>
      <c r="B59" s="9" t="s">
        <v>41</v>
      </c>
      <c r="C59" s="9" t="s">
        <v>317</v>
      </c>
      <c r="D59" s="9" t="s">
        <v>66</v>
      </c>
      <c r="E59" s="9" t="s">
        <v>131</v>
      </c>
      <c r="F59" s="9" t="s">
        <v>318</v>
      </c>
      <c r="G59" s="9" t="s">
        <v>319</v>
      </c>
      <c r="H59" s="14" t="s">
        <v>75</v>
      </c>
      <c r="I59" s="8" t="s">
        <v>62</v>
      </c>
      <c r="J59" s="8" t="s">
        <v>62</v>
      </c>
      <c r="K59" s="9"/>
    </row>
    <row r="60" spans="1:11" ht="42" customHeight="1" x14ac:dyDescent="0.25">
      <c r="A60" s="3" t="s">
        <v>320</v>
      </c>
      <c r="B60" s="3" t="s">
        <v>41</v>
      </c>
      <c r="C60" s="3" t="s">
        <v>321</v>
      </c>
      <c r="D60" s="3" t="s">
        <v>82</v>
      </c>
      <c r="E60" s="3" t="s">
        <v>322</v>
      </c>
      <c r="F60" s="3" t="s">
        <v>323</v>
      </c>
      <c r="G60" s="3" t="s">
        <v>324</v>
      </c>
      <c r="H60" s="11" t="s">
        <v>61</v>
      </c>
      <c r="I60" s="8" t="s">
        <v>62</v>
      </c>
      <c r="J60" s="8" t="s">
        <v>62</v>
      </c>
      <c r="K60" s="3"/>
    </row>
    <row r="61" spans="1:11" ht="42" customHeight="1" x14ac:dyDescent="0.25">
      <c r="A61" s="3" t="s">
        <v>325</v>
      </c>
      <c r="B61" s="3" t="s">
        <v>326</v>
      </c>
      <c r="C61" s="3" t="s">
        <v>327</v>
      </c>
      <c r="D61" s="3" t="s">
        <v>82</v>
      </c>
      <c r="E61" s="3" t="s">
        <v>328</v>
      </c>
      <c r="F61" s="3" t="s">
        <v>329</v>
      </c>
      <c r="G61" s="3" t="s">
        <v>330</v>
      </c>
      <c r="H61" s="11" t="s">
        <v>75</v>
      </c>
      <c r="I61" s="8" t="s">
        <v>62</v>
      </c>
      <c r="J61" s="8" t="s">
        <v>62</v>
      </c>
      <c r="K61" s="3"/>
    </row>
    <row r="62" spans="1:11" ht="45" x14ac:dyDescent="0.25">
      <c r="A62" s="3" t="s">
        <v>331</v>
      </c>
      <c r="B62" s="3" t="s">
        <v>332</v>
      </c>
      <c r="C62" s="3" t="s">
        <v>333</v>
      </c>
      <c r="D62" s="3" t="s">
        <v>57</v>
      </c>
      <c r="E62" s="3" t="s">
        <v>131</v>
      </c>
      <c r="F62" s="3" t="s">
        <v>334</v>
      </c>
      <c r="G62" s="3" t="s">
        <v>335</v>
      </c>
      <c r="H62" s="11" t="s">
        <v>61</v>
      </c>
      <c r="I62" s="8" t="s">
        <v>62</v>
      </c>
      <c r="J62" s="8" t="s">
        <v>62</v>
      </c>
      <c r="K62" s="3"/>
    </row>
    <row r="63" spans="1:11" ht="45" x14ac:dyDescent="0.25">
      <c r="A63" s="3" t="s">
        <v>336</v>
      </c>
      <c r="B63" s="3" t="s">
        <v>332</v>
      </c>
      <c r="C63" s="3" t="s">
        <v>337</v>
      </c>
      <c r="D63" s="3" t="s">
        <v>57</v>
      </c>
      <c r="E63" s="3" t="s">
        <v>338</v>
      </c>
      <c r="F63" s="3" t="s">
        <v>339</v>
      </c>
      <c r="G63" s="3" t="s">
        <v>340</v>
      </c>
      <c r="H63" s="11" t="s">
        <v>75</v>
      </c>
      <c r="I63" s="8" t="s">
        <v>62</v>
      </c>
      <c r="J63" s="8" t="s">
        <v>62</v>
      </c>
      <c r="K63" s="3"/>
    </row>
    <row r="64" spans="1:11" ht="45" x14ac:dyDescent="0.25">
      <c r="A64" s="3" t="s">
        <v>341</v>
      </c>
      <c r="B64" s="3" t="s">
        <v>332</v>
      </c>
      <c r="C64" s="3" t="s">
        <v>342</v>
      </c>
      <c r="D64" s="3" t="s">
        <v>57</v>
      </c>
      <c r="E64" s="3" t="s">
        <v>338</v>
      </c>
      <c r="F64" s="3" t="s">
        <v>343</v>
      </c>
      <c r="G64" s="3" t="s">
        <v>344</v>
      </c>
      <c r="H64" s="11" t="s">
        <v>75</v>
      </c>
      <c r="I64" s="8" t="s">
        <v>62</v>
      </c>
      <c r="J64" s="8" t="s">
        <v>62</v>
      </c>
      <c r="K64" s="3"/>
    </row>
    <row r="65" spans="1:11" ht="45" x14ac:dyDescent="0.25">
      <c r="A65" s="3" t="s">
        <v>345</v>
      </c>
      <c r="B65" s="3" t="s">
        <v>332</v>
      </c>
      <c r="C65" s="3" t="s">
        <v>135</v>
      </c>
      <c r="D65" s="3" t="s">
        <v>57</v>
      </c>
      <c r="E65" s="3" t="s">
        <v>338</v>
      </c>
      <c r="F65" s="3" t="s">
        <v>346</v>
      </c>
      <c r="G65" s="3" t="s">
        <v>138</v>
      </c>
      <c r="H65" s="11" t="s">
        <v>75</v>
      </c>
      <c r="I65" s="8" t="s">
        <v>62</v>
      </c>
      <c r="J65" s="8" t="s">
        <v>62</v>
      </c>
      <c r="K65" s="3"/>
    </row>
    <row r="66" spans="1:11" ht="45" x14ac:dyDescent="0.25">
      <c r="A66" s="3" t="s">
        <v>347</v>
      </c>
      <c r="B66" s="3" t="s">
        <v>19</v>
      </c>
      <c r="C66" s="3" t="s">
        <v>348</v>
      </c>
      <c r="D66" s="3" t="s">
        <v>57</v>
      </c>
      <c r="E66" s="3" t="s">
        <v>136</v>
      </c>
      <c r="F66" s="3" t="s">
        <v>349</v>
      </c>
      <c r="G66" s="3" t="s">
        <v>350</v>
      </c>
      <c r="H66" s="11" t="s">
        <v>75</v>
      </c>
      <c r="I66" s="8" t="s">
        <v>62</v>
      </c>
      <c r="J66" s="8" t="s">
        <v>62</v>
      </c>
      <c r="K66" s="3"/>
    </row>
    <row r="67" spans="1:11" ht="45" x14ac:dyDescent="0.25">
      <c r="A67" s="3" t="s">
        <v>351</v>
      </c>
      <c r="B67" s="3" t="s">
        <v>22</v>
      </c>
      <c r="C67" s="3" t="s">
        <v>352</v>
      </c>
      <c r="D67" s="3" t="s">
        <v>57</v>
      </c>
      <c r="E67" s="3" t="s">
        <v>353</v>
      </c>
      <c r="F67" s="3" t="s">
        <v>354</v>
      </c>
      <c r="G67" s="3" t="s">
        <v>355</v>
      </c>
      <c r="H67" s="11" t="s">
        <v>75</v>
      </c>
      <c r="I67" s="8" t="s">
        <v>62</v>
      </c>
      <c r="J67" s="8" t="s">
        <v>62</v>
      </c>
      <c r="K67" s="3"/>
    </row>
    <row r="68" spans="1:11" ht="45" x14ac:dyDescent="0.25">
      <c r="A68" s="3" t="s">
        <v>356</v>
      </c>
      <c r="B68" s="3" t="s">
        <v>31</v>
      </c>
      <c r="C68" s="3" t="s">
        <v>357</v>
      </c>
      <c r="D68" s="3" t="s">
        <v>57</v>
      </c>
      <c r="E68" s="3" t="s">
        <v>215</v>
      </c>
      <c r="F68" s="3" t="s">
        <v>358</v>
      </c>
      <c r="G68" s="3" t="s">
        <v>359</v>
      </c>
      <c r="H68" s="11" t="s">
        <v>75</v>
      </c>
      <c r="I68" s="8" t="s">
        <v>62</v>
      </c>
      <c r="J68" s="8" t="s">
        <v>62</v>
      </c>
      <c r="K68" s="3"/>
    </row>
    <row r="69" spans="1:11" ht="45" x14ac:dyDescent="0.25">
      <c r="A69" s="3" t="s">
        <v>360</v>
      </c>
      <c r="B69" s="3" t="s">
        <v>35</v>
      </c>
      <c r="C69" s="3" t="s">
        <v>361</v>
      </c>
      <c r="D69" s="3" t="s">
        <v>57</v>
      </c>
      <c r="E69" s="3" t="s">
        <v>362</v>
      </c>
      <c r="F69" s="3" t="s">
        <v>363</v>
      </c>
      <c r="G69" s="3" t="s">
        <v>364</v>
      </c>
      <c r="H69" s="11" t="s">
        <v>61</v>
      </c>
      <c r="I69" s="8" t="s">
        <v>62</v>
      </c>
      <c r="J69" s="8" t="s">
        <v>62</v>
      </c>
      <c r="K69" s="3"/>
    </row>
    <row r="70" spans="1:11" ht="45" x14ac:dyDescent="0.25">
      <c r="A70" s="3" t="s">
        <v>365</v>
      </c>
      <c r="B70" s="3" t="s">
        <v>35</v>
      </c>
      <c r="C70" s="3" t="s">
        <v>366</v>
      </c>
      <c r="D70" s="3" t="s">
        <v>57</v>
      </c>
      <c r="E70" s="3" t="s">
        <v>367</v>
      </c>
      <c r="F70" s="3" t="s">
        <v>368</v>
      </c>
      <c r="G70" s="3" t="s">
        <v>369</v>
      </c>
      <c r="H70" s="11" t="s">
        <v>75</v>
      </c>
      <c r="I70" s="8" t="s">
        <v>62</v>
      </c>
      <c r="J70" s="8" t="s">
        <v>62</v>
      </c>
      <c r="K70" s="3"/>
    </row>
    <row r="71" spans="1:11" ht="45" x14ac:dyDescent="0.25">
      <c r="A71" s="3" t="s">
        <v>370</v>
      </c>
      <c r="B71" s="3" t="s">
        <v>35</v>
      </c>
      <c r="C71" s="3" t="s">
        <v>371</v>
      </c>
      <c r="D71" s="3" t="s">
        <v>57</v>
      </c>
      <c r="E71" s="3" t="s">
        <v>367</v>
      </c>
      <c r="F71" s="3" t="s">
        <v>372</v>
      </c>
      <c r="G71" s="3" t="s">
        <v>373</v>
      </c>
      <c r="H71" s="11" t="s">
        <v>75</v>
      </c>
      <c r="I71" s="8" t="s">
        <v>62</v>
      </c>
      <c r="J71" s="8" t="s">
        <v>62</v>
      </c>
      <c r="K71" s="3"/>
    </row>
    <row r="72" spans="1:11" ht="45" x14ac:dyDescent="0.25">
      <c r="A72" s="3" t="s">
        <v>374</v>
      </c>
      <c r="B72" s="3" t="s">
        <v>35</v>
      </c>
      <c r="C72" s="3" t="s">
        <v>375</v>
      </c>
      <c r="D72" s="3" t="s">
        <v>57</v>
      </c>
      <c r="E72" s="3" t="s">
        <v>367</v>
      </c>
      <c r="F72" s="3" t="s">
        <v>376</v>
      </c>
      <c r="G72" s="3" t="s">
        <v>377</v>
      </c>
      <c r="H72" s="11" t="s">
        <v>75</v>
      </c>
      <c r="I72" s="8" t="s">
        <v>62</v>
      </c>
      <c r="J72" s="8" t="s">
        <v>62</v>
      </c>
      <c r="K72" s="3"/>
    </row>
    <row r="73" spans="1:11" ht="60" x14ac:dyDescent="0.25">
      <c r="A73" s="3" t="s">
        <v>378</v>
      </c>
      <c r="B73" s="3" t="s">
        <v>25</v>
      </c>
      <c r="C73" s="3" t="s">
        <v>379</v>
      </c>
      <c r="D73" s="3" t="s">
        <v>57</v>
      </c>
      <c r="E73" s="3" t="s">
        <v>380</v>
      </c>
      <c r="F73" s="3" t="s">
        <v>381</v>
      </c>
      <c r="G73" s="3" t="s">
        <v>382</v>
      </c>
      <c r="H73" s="11" t="s">
        <v>75</v>
      </c>
      <c r="I73" s="8" t="s">
        <v>62</v>
      </c>
      <c r="J73" s="8" t="s">
        <v>62</v>
      </c>
      <c r="K73" s="3"/>
    </row>
    <row r="74" spans="1:11" ht="45" x14ac:dyDescent="0.25">
      <c r="A74" s="3" t="s">
        <v>383</v>
      </c>
      <c r="B74" s="3" t="s">
        <v>13</v>
      </c>
      <c r="C74" s="3" t="s">
        <v>384</v>
      </c>
      <c r="D74" s="3" t="s">
        <v>57</v>
      </c>
      <c r="E74" s="3" t="s">
        <v>126</v>
      </c>
      <c r="F74" s="3" t="s">
        <v>385</v>
      </c>
      <c r="G74" s="3" t="s">
        <v>386</v>
      </c>
      <c r="H74" s="11" t="s">
        <v>61</v>
      </c>
      <c r="I74" s="8" t="s">
        <v>586</v>
      </c>
      <c r="J74" s="8" t="s">
        <v>62</v>
      </c>
      <c r="K74" s="3" t="s">
        <v>387</v>
      </c>
    </row>
    <row r="75" spans="1:11" ht="30" x14ac:dyDescent="0.25">
      <c r="A75" s="3" t="s">
        <v>388</v>
      </c>
      <c r="B75" s="3" t="s">
        <v>13</v>
      </c>
      <c r="C75" s="3" t="s">
        <v>389</v>
      </c>
      <c r="D75" s="3" t="s">
        <v>57</v>
      </c>
      <c r="E75" s="3" t="s">
        <v>390</v>
      </c>
      <c r="F75" s="3" t="s">
        <v>391</v>
      </c>
      <c r="G75" s="3" t="s">
        <v>392</v>
      </c>
      <c r="H75" s="11" t="s">
        <v>61</v>
      </c>
      <c r="I75" s="8" t="s">
        <v>586</v>
      </c>
      <c r="J75" s="8" t="s">
        <v>62</v>
      </c>
      <c r="K75" s="3" t="s">
        <v>393</v>
      </c>
    </row>
    <row r="76" spans="1:11" ht="45" x14ac:dyDescent="0.25">
      <c r="A76" s="3" t="s">
        <v>394</v>
      </c>
      <c r="B76" s="3" t="s">
        <v>41</v>
      </c>
      <c r="C76" s="3" t="s">
        <v>395</v>
      </c>
      <c r="D76" s="3" t="s">
        <v>57</v>
      </c>
      <c r="E76" s="3" t="s">
        <v>131</v>
      </c>
      <c r="F76" s="3" t="s">
        <v>396</v>
      </c>
      <c r="G76" s="3" t="s">
        <v>397</v>
      </c>
      <c r="H76" s="11" t="s">
        <v>61</v>
      </c>
      <c r="I76" s="8" t="s">
        <v>62</v>
      </c>
      <c r="J76" s="8" t="s">
        <v>62</v>
      </c>
      <c r="K76" s="3"/>
    </row>
    <row r="77" spans="1:11" ht="45" x14ac:dyDescent="0.25">
      <c r="A77" s="3" t="s">
        <v>398</v>
      </c>
      <c r="B77" s="3" t="s">
        <v>39</v>
      </c>
      <c r="C77" s="3" t="s">
        <v>399</v>
      </c>
      <c r="D77" s="3" t="s">
        <v>57</v>
      </c>
      <c r="E77" s="3" t="s">
        <v>400</v>
      </c>
      <c r="F77" s="3" t="s">
        <v>401</v>
      </c>
      <c r="G77" s="3" t="s">
        <v>402</v>
      </c>
      <c r="H77" s="11" t="s">
        <v>75</v>
      </c>
      <c r="I77" s="8" t="s">
        <v>62</v>
      </c>
      <c r="J77" s="8" t="s">
        <v>62</v>
      </c>
      <c r="K77" s="3"/>
    </row>
    <row r="78" spans="1:11" ht="45" x14ac:dyDescent="0.25">
      <c r="A78" s="3" t="s">
        <v>403</v>
      </c>
      <c r="B78" s="3" t="s">
        <v>39</v>
      </c>
      <c r="C78" s="3" t="s">
        <v>404</v>
      </c>
      <c r="D78" s="3" t="s">
        <v>57</v>
      </c>
      <c r="E78" s="3" t="s">
        <v>400</v>
      </c>
      <c r="F78" s="3" t="s">
        <v>405</v>
      </c>
      <c r="G78" s="3" t="s">
        <v>406</v>
      </c>
      <c r="H78" s="11" t="s">
        <v>75</v>
      </c>
      <c r="I78" s="8" t="s">
        <v>62</v>
      </c>
      <c r="J78" s="8" t="s">
        <v>62</v>
      </c>
      <c r="K78" s="3"/>
    </row>
    <row r="79" spans="1:11" ht="45" x14ac:dyDescent="0.25">
      <c r="A79" s="3" t="s">
        <v>407</v>
      </c>
      <c r="B79" s="3" t="s">
        <v>39</v>
      </c>
      <c r="C79" s="3" t="s">
        <v>408</v>
      </c>
      <c r="D79" s="3" t="s">
        <v>57</v>
      </c>
      <c r="E79" s="3" t="s">
        <v>400</v>
      </c>
      <c r="F79" s="3" t="s">
        <v>409</v>
      </c>
      <c r="G79" s="3" t="s">
        <v>410</v>
      </c>
      <c r="H79" s="11" t="s">
        <v>75</v>
      </c>
      <c r="I79" s="8" t="s">
        <v>62</v>
      </c>
      <c r="J79" s="8" t="s">
        <v>62</v>
      </c>
      <c r="K79" s="3"/>
    </row>
    <row r="80" spans="1:11" ht="45" x14ac:dyDescent="0.25">
      <c r="A80" s="3" t="s">
        <v>411</v>
      </c>
      <c r="B80" s="3" t="s">
        <v>39</v>
      </c>
      <c r="C80" s="3" t="s">
        <v>412</v>
      </c>
      <c r="D80" s="3" t="s">
        <v>57</v>
      </c>
      <c r="E80" s="3" t="s">
        <v>400</v>
      </c>
      <c r="F80" s="3" t="s">
        <v>413</v>
      </c>
      <c r="G80" s="3" t="s">
        <v>414</v>
      </c>
      <c r="H80" s="11" t="s">
        <v>209</v>
      </c>
      <c r="I80" s="8" t="s">
        <v>62</v>
      </c>
      <c r="J80" s="8" t="s">
        <v>62</v>
      </c>
      <c r="K80" s="3"/>
    </row>
    <row r="81" spans="1:11" ht="30" x14ac:dyDescent="0.25">
      <c r="A81" s="3" t="s">
        <v>415</v>
      </c>
      <c r="B81" s="3" t="s">
        <v>416</v>
      </c>
      <c r="C81" s="3" t="s">
        <v>417</v>
      </c>
      <c r="D81" s="3" t="s">
        <v>82</v>
      </c>
      <c r="E81" s="3" t="s">
        <v>418</v>
      </c>
      <c r="F81" s="3" t="s">
        <v>419</v>
      </c>
      <c r="G81" s="3" t="s">
        <v>420</v>
      </c>
      <c r="H81" s="11" t="s">
        <v>75</v>
      </c>
      <c r="I81" s="8" t="s">
        <v>62</v>
      </c>
      <c r="J81" s="8" t="s">
        <v>62</v>
      </c>
      <c r="K81" s="3"/>
    </row>
    <row r="82" spans="1:11" ht="60" x14ac:dyDescent="0.25">
      <c r="A82" s="3" t="s">
        <v>421</v>
      </c>
      <c r="B82" s="3" t="s">
        <v>25</v>
      </c>
      <c r="C82" s="3" t="s">
        <v>422</v>
      </c>
      <c r="D82" s="3" t="s">
        <v>57</v>
      </c>
      <c r="E82" s="3" t="s">
        <v>380</v>
      </c>
      <c r="F82" s="3" t="s">
        <v>423</v>
      </c>
      <c r="G82" s="3" t="s">
        <v>424</v>
      </c>
      <c r="H82" s="11" t="s">
        <v>75</v>
      </c>
      <c r="I82" s="8" t="s">
        <v>62</v>
      </c>
      <c r="J82" s="8" t="s">
        <v>62</v>
      </c>
      <c r="K82" s="3"/>
    </row>
    <row r="83" spans="1:11" ht="30" x14ac:dyDescent="0.25">
      <c r="A83" s="3" t="s">
        <v>425</v>
      </c>
      <c r="B83" s="3" t="s">
        <v>13</v>
      </c>
      <c r="C83" s="3" t="s">
        <v>426</v>
      </c>
      <c r="D83" s="3" t="s">
        <v>82</v>
      </c>
      <c r="E83" s="3" t="s">
        <v>427</v>
      </c>
      <c r="F83" s="3" t="s">
        <v>428</v>
      </c>
      <c r="G83" s="3" t="s">
        <v>429</v>
      </c>
      <c r="H83" s="11" t="s">
        <v>209</v>
      </c>
      <c r="I83" s="8" t="s">
        <v>62</v>
      </c>
      <c r="J83" s="8" t="s">
        <v>62</v>
      </c>
      <c r="K83" s="3"/>
    </row>
    <row r="84" spans="1:11" ht="30" x14ac:dyDescent="0.25">
      <c r="A84" s="3" t="s">
        <v>430</v>
      </c>
      <c r="B84" s="3" t="s">
        <v>16</v>
      </c>
      <c r="C84" s="3" t="s">
        <v>431</v>
      </c>
      <c r="D84" s="3" t="s">
        <v>82</v>
      </c>
      <c r="E84" s="3" t="s">
        <v>432</v>
      </c>
      <c r="F84" s="3" t="s">
        <v>433</v>
      </c>
      <c r="G84" s="3" t="s">
        <v>434</v>
      </c>
      <c r="H84" s="11" t="s">
        <v>209</v>
      </c>
      <c r="I84" s="8" t="s">
        <v>62</v>
      </c>
      <c r="J84" s="8" t="s">
        <v>62</v>
      </c>
      <c r="K84" s="3"/>
    </row>
    <row r="85" spans="1:11" ht="45" x14ac:dyDescent="0.25">
      <c r="A85" s="3" t="s">
        <v>435</v>
      </c>
      <c r="B85" s="3" t="s">
        <v>33</v>
      </c>
      <c r="C85" s="3" t="s">
        <v>436</v>
      </c>
      <c r="D85" s="3" t="s">
        <v>82</v>
      </c>
      <c r="E85" s="3" t="s">
        <v>230</v>
      </c>
      <c r="F85" s="3" t="s">
        <v>437</v>
      </c>
      <c r="G85" s="3" t="s">
        <v>438</v>
      </c>
      <c r="H85" s="11" t="s">
        <v>75</v>
      </c>
      <c r="I85" s="8" t="s">
        <v>62</v>
      </c>
      <c r="J85" s="8" t="s">
        <v>62</v>
      </c>
      <c r="K85" s="3"/>
    </row>
    <row r="86" spans="1:11" ht="60" x14ac:dyDescent="0.25">
      <c r="A86" s="3" t="s">
        <v>439</v>
      </c>
      <c r="B86" s="3" t="s">
        <v>19</v>
      </c>
      <c r="C86" s="3" t="s">
        <v>440</v>
      </c>
      <c r="D86" s="3" t="s">
        <v>57</v>
      </c>
      <c r="E86" s="3" t="s">
        <v>441</v>
      </c>
      <c r="F86" s="3" t="s">
        <v>442</v>
      </c>
      <c r="G86" s="3" t="s">
        <v>443</v>
      </c>
      <c r="H86" s="11" t="s">
        <v>75</v>
      </c>
      <c r="I86" s="8" t="s">
        <v>62</v>
      </c>
      <c r="J86" s="8" t="s">
        <v>62</v>
      </c>
      <c r="K86" s="3"/>
    </row>
    <row r="87" spans="1:11" ht="60" x14ac:dyDescent="0.25">
      <c r="A87" s="3" t="s">
        <v>444</v>
      </c>
      <c r="B87" s="3" t="s">
        <v>31</v>
      </c>
      <c r="C87" s="3" t="s">
        <v>440</v>
      </c>
      <c r="D87" s="3" t="s">
        <v>57</v>
      </c>
      <c r="E87" s="3" t="s">
        <v>445</v>
      </c>
      <c r="F87" s="3" t="s">
        <v>446</v>
      </c>
      <c r="G87" s="3" t="s">
        <v>447</v>
      </c>
      <c r="H87" s="11" t="s">
        <v>75</v>
      </c>
      <c r="I87" s="8" t="s">
        <v>62</v>
      </c>
      <c r="J87" s="8" t="s">
        <v>62</v>
      </c>
      <c r="K87" s="3"/>
    </row>
    <row r="88" spans="1:11" ht="30" x14ac:dyDescent="0.25">
      <c r="A88" s="3" t="s">
        <v>448</v>
      </c>
      <c r="B88" s="3" t="s">
        <v>37</v>
      </c>
      <c r="C88" s="3" t="s">
        <v>449</v>
      </c>
      <c r="D88" s="3" t="s">
        <v>82</v>
      </c>
      <c r="E88" s="3" t="s">
        <v>288</v>
      </c>
      <c r="F88" s="3" t="s">
        <v>450</v>
      </c>
      <c r="G88" s="3" t="s">
        <v>451</v>
      </c>
      <c r="H88" s="11" t="s">
        <v>209</v>
      </c>
      <c r="I88" s="8" t="s">
        <v>62</v>
      </c>
      <c r="J88" s="8" t="s">
        <v>62</v>
      </c>
      <c r="K88" s="3"/>
    </row>
    <row r="89" spans="1:11" ht="45" x14ac:dyDescent="0.25">
      <c r="A89" s="3" t="s">
        <v>452</v>
      </c>
      <c r="B89" s="3" t="s">
        <v>28</v>
      </c>
      <c r="C89" s="3" t="s">
        <v>453</v>
      </c>
      <c r="D89" s="3" t="s">
        <v>69</v>
      </c>
      <c r="E89" s="3" t="s">
        <v>454</v>
      </c>
      <c r="F89" s="3" t="s">
        <v>455</v>
      </c>
      <c r="G89" s="3" t="s">
        <v>456</v>
      </c>
      <c r="H89" s="11" t="s">
        <v>75</v>
      </c>
      <c r="I89" s="8" t="s">
        <v>62</v>
      </c>
      <c r="J89" s="8" t="s">
        <v>62</v>
      </c>
      <c r="K89" s="3"/>
    </row>
    <row r="90" spans="1:11" ht="30" x14ac:dyDescent="0.25">
      <c r="A90" s="3" t="s">
        <v>457</v>
      </c>
      <c r="B90" s="3" t="s">
        <v>39</v>
      </c>
      <c r="C90" s="3" t="s">
        <v>458</v>
      </c>
      <c r="D90" s="3" t="s">
        <v>82</v>
      </c>
      <c r="E90" s="3" t="s">
        <v>293</v>
      </c>
      <c r="F90" s="3" t="s">
        <v>459</v>
      </c>
      <c r="G90" s="3" t="s">
        <v>460</v>
      </c>
      <c r="H90" s="11" t="s">
        <v>209</v>
      </c>
      <c r="I90" s="8" t="s">
        <v>62</v>
      </c>
      <c r="J90" s="8" t="s">
        <v>62</v>
      </c>
      <c r="K90" s="3"/>
    </row>
    <row r="91" spans="1:11" ht="30" x14ac:dyDescent="0.25">
      <c r="A91" s="3" t="s">
        <v>461</v>
      </c>
      <c r="B91" s="3" t="s">
        <v>10</v>
      </c>
      <c r="C91" s="3" t="s">
        <v>462</v>
      </c>
      <c r="D91" s="3" t="s">
        <v>57</v>
      </c>
      <c r="E91" s="3" t="s">
        <v>58</v>
      </c>
      <c r="F91" s="3" t="s">
        <v>463</v>
      </c>
      <c r="G91" s="3" t="s">
        <v>464</v>
      </c>
      <c r="H91" s="11" t="s">
        <v>75</v>
      </c>
      <c r="I91" s="8" t="s">
        <v>62</v>
      </c>
      <c r="J91" s="8" t="s">
        <v>62</v>
      </c>
      <c r="K91" s="3"/>
    </row>
    <row r="92" spans="1:11" ht="15" customHeight="1" x14ac:dyDescent="0.25">
      <c r="A92" s="17"/>
      <c r="B92" s="17"/>
      <c r="C92" s="17"/>
      <c r="D92" s="17"/>
      <c r="E92" s="17"/>
      <c r="F92" s="17"/>
      <c r="G92" s="17"/>
      <c r="H92" s="22"/>
      <c r="I92" s="8"/>
      <c r="J92" s="8"/>
      <c r="K92" s="17"/>
    </row>
  </sheetData>
  <conditionalFormatting sqref="I2:J59">
    <cfRule type="expression" dxfId="39" priority="22">
      <formula>EXACT(I2,"Sikeres")</formula>
    </cfRule>
    <cfRule type="expression" dxfId="38" priority="23">
      <formula>EXACT(I2,"Hibás")</formula>
    </cfRule>
    <cfRule type="expression" dxfId="37" priority="24">
      <formula>EXACT(I2,"Folyamatban")</formula>
    </cfRule>
    <cfRule type="expression" dxfId="36" priority="25">
      <formula>EXACT(I2,"Blokkolt")</formula>
    </cfRule>
  </conditionalFormatting>
  <conditionalFormatting sqref="I92:J92">
    <cfRule type="expression" dxfId="35" priority="17">
      <formula>EXACT(I92,"Sikeres")</formula>
    </cfRule>
    <cfRule type="expression" dxfId="34" priority="18">
      <formula>EXACT(I92,"Hibás")</formula>
    </cfRule>
    <cfRule type="expression" dxfId="33" priority="19">
      <formula>EXACT(I92,"Folyamatban")</formula>
    </cfRule>
    <cfRule type="expression" dxfId="32" priority="20">
      <formula>EXACT(I92,"Blokkolt")</formula>
    </cfRule>
  </conditionalFormatting>
  <conditionalFormatting sqref="I60:J61">
    <cfRule type="expression" dxfId="31" priority="13">
      <formula>EXACT(I60,"Sikeres")</formula>
    </cfRule>
    <cfRule type="expression" dxfId="30" priority="14">
      <formula>EXACT(I60,"Hibás")</formula>
    </cfRule>
    <cfRule type="expression" dxfId="29" priority="15">
      <formula>EXACT(I60,"Folyamatban")</formula>
    </cfRule>
    <cfRule type="expression" dxfId="28" priority="16">
      <formula>EXACT(I60,"Blokkolt")</formula>
    </cfRule>
  </conditionalFormatting>
  <conditionalFormatting sqref="I62:J75">
    <cfRule type="expression" dxfId="27" priority="9">
      <formula>EXACT(I62,"Sikeres")</formula>
    </cfRule>
    <cfRule type="expression" dxfId="26" priority="10">
      <formula>EXACT(I62,"Hibás")</formula>
    </cfRule>
    <cfRule type="expression" dxfId="25" priority="11">
      <formula>EXACT(I62,"Folyamatban")</formula>
    </cfRule>
    <cfRule type="expression" dxfId="24" priority="12">
      <formula>EXACT(I62,"Blokkolt")</formula>
    </cfRule>
  </conditionalFormatting>
  <conditionalFormatting sqref="I76:J77">
    <cfRule type="expression" dxfId="23" priority="5">
      <formula>EXACT(I76,"Sikeres")</formula>
    </cfRule>
    <cfRule type="expression" dxfId="22" priority="6">
      <formula>EXACT(I76,"Hibás")</formula>
    </cfRule>
    <cfRule type="expression" dxfId="21" priority="7">
      <formula>EXACT(I76,"Folyamatban")</formula>
    </cfRule>
    <cfRule type="expression" dxfId="20" priority="8">
      <formula>EXACT(I76,"Blokkolt")</formula>
    </cfRule>
  </conditionalFormatting>
  <conditionalFormatting sqref="I78:J91">
    <cfRule type="expression" dxfId="19" priority="1">
      <formula>EXACT(I78,"Sikeres")</formula>
    </cfRule>
    <cfRule type="expression" dxfId="18" priority="2">
      <formula>EXACT(I78,"Hibás")</formula>
    </cfRule>
    <cfRule type="expression" dxfId="17" priority="3">
      <formula>EXACT(I78,"Folyamatban")</formula>
    </cfRule>
    <cfRule type="expression" dxfId="16" priority="4">
      <formula>EXACT(I78,"Blokkolt")</formula>
    </cfRule>
  </conditionalFormatting>
  <dataValidations count="3">
    <dataValidation type="list" allowBlank="1" sqref="I2:J91" xr:uid="{00000000-0002-0000-0100-000000000000}">
      <formula1>"Tervezett,Folyamatban,Sikeres,Hibás,Blokkolt,Nem releváns"</formula1>
      <formula2>0</formula2>
    </dataValidation>
    <dataValidation type="list" allowBlank="1" sqref="H2:H61" xr:uid="{00000000-0002-0000-0100-000001000000}">
      <formula1>"Magas,Közepes,Alacsony"</formula1>
      <formula2>0</formula2>
    </dataValidation>
    <dataValidation type="list" allowBlank="1" sqref="D2:D61" xr:uid="{00000000-0002-0000-0100-000002000000}">
      <formula1>"Funkcionális,Validáció,Navigáció,UI,UI/Funkcionális,UI/Navigáció"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58C28"/>
  </sheetPr>
  <dimension ref="A1:G21"/>
  <sheetViews>
    <sheetView showGridLines="0" zoomScaleNormal="100" workbookViewId="0">
      <selection activeCell="E17" sqref="E17:F21"/>
    </sheetView>
  </sheetViews>
  <sheetFormatPr defaultColWidth="8.7109375" defaultRowHeight="15" customHeight="1" x14ac:dyDescent="0.25"/>
  <cols>
    <col min="1" max="1" width="10" style="1" customWidth="1"/>
    <col min="2" max="2" width="18" style="1" customWidth="1"/>
    <col min="3" max="3" width="22" style="1" customWidth="1"/>
    <col min="4" max="4" width="55" style="1" customWidth="1"/>
    <col min="5" max="6" width="12" style="1" customWidth="1"/>
    <col min="7" max="7" width="18" style="1" customWidth="1"/>
  </cols>
  <sheetData>
    <row r="1" spans="1:7" x14ac:dyDescent="0.25">
      <c r="A1" s="4" t="s">
        <v>465</v>
      </c>
      <c r="B1" s="4" t="s">
        <v>466</v>
      </c>
      <c r="C1" s="4" t="s">
        <v>467</v>
      </c>
      <c r="D1" s="4" t="s">
        <v>468</v>
      </c>
      <c r="E1" s="4" t="s">
        <v>51</v>
      </c>
      <c r="F1" s="4" t="s">
        <v>52</v>
      </c>
      <c r="G1" s="4" t="s">
        <v>53</v>
      </c>
    </row>
    <row r="2" spans="1:7" ht="33.75" customHeight="1" x14ac:dyDescent="0.25">
      <c r="A2" s="3" t="s">
        <v>469</v>
      </c>
      <c r="B2" s="3" t="s">
        <v>10</v>
      </c>
      <c r="C2" s="3" t="s">
        <v>470</v>
      </c>
      <c r="D2" s="3" t="s">
        <v>471</v>
      </c>
      <c r="E2" s="8" t="s">
        <v>62</v>
      </c>
      <c r="F2" s="8" t="s">
        <v>62</v>
      </c>
      <c r="G2" s="3"/>
    </row>
    <row r="3" spans="1:7" ht="33.75" customHeight="1" x14ac:dyDescent="0.25">
      <c r="A3" s="3" t="s">
        <v>472</v>
      </c>
      <c r="B3" s="3" t="s">
        <v>10</v>
      </c>
      <c r="C3" s="3" t="s">
        <v>473</v>
      </c>
      <c r="D3" s="3" t="s">
        <v>474</v>
      </c>
      <c r="E3" s="8" t="s">
        <v>62</v>
      </c>
      <c r="F3" s="8" t="s">
        <v>62</v>
      </c>
      <c r="G3" s="3"/>
    </row>
    <row r="4" spans="1:7" ht="33.75" customHeight="1" x14ac:dyDescent="0.25">
      <c r="A4" s="3" t="s">
        <v>475</v>
      </c>
      <c r="B4" s="3" t="s">
        <v>13</v>
      </c>
      <c r="C4" s="3" t="s">
        <v>476</v>
      </c>
      <c r="D4" s="3" t="s">
        <v>477</v>
      </c>
      <c r="E4" s="8" t="s">
        <v>62</v>
      </c>
      <c r="F4" s="8" t="s">
        <v>62</v>
      </c>
      <c r="G4" s="3"/>
    </row>
    <row r="5" spans="1:7" ht="33.75" customHeight="1" x14ac:dyDescent="0.25">
      <c r="A5" s="3" t="s">
        <v>478</v>
      </c>
      <c r="B5" s="3" t="s">
        <v>16</v>
      </c>
      <c r="C5" s="3" t="s">
        <v>479</v>
      </c>
      <c r="D5" s="3" t="s">
        <v>480</v>
      </c>
      <c r="E5" s="8" t="s">
        <v>62</v>
      </c>
      <c r="F5" s="8" t="s">
        <v>62</v>
      </c>
      <c r="G5" s="3"/>
    </row>
    <row r="6" spans="1:7" ht="33.75" customHeight="1" x14ac:dyDescent="0.25">
      <c r="A6" s="3" t="s">
        <v>481</v>
      </c>
      <c r="B6" s="3" t="s">
        <v>19</v>
      </c>
      <c r="C6" s="3" t="s">
        <v>482</v>
      </c>
      <c r="D6" s="3" t="s">
        <v>483</v>
      </c>
      <c r="E6" s="8" t="s">
        <v>62</v>
      </c>
      <c r="F6" s="8" t="s">
        <v>62</v>
      </c>
      <c r="G6" s="3"/>
    </row>
    <row r="7" spans="1:7" ht="33.75" customHeight="1" x14ac:dyDescent="0.25">
      <c r="A7" s="3" t="s">
        <v>484</v>
      </c>
      <c r="B7" s="3" t="s">
        <v>22</v>
      </c>
      <c r="C7" s="3" t="s">
        <v>485</v>
      </c>
      <c r="D7" s="3" t="s">
        <v>486</v>
      </c>
      <c r="E7" s="8" t="s">
        <v>62</v>
      </c>
      <c r="F7" s="8" t="s">
        <v>62</v>
      </c>
      <c r="G7" s="3"/>
    </row>
    <row r="8" spans="1:7" ht="33.75" customHeight="1" x14ac:dyDescent="0.25">
      <c r="A8" s="3" t="s">
        <v>487</v>
      </c>
      <c r="B8" s="3" t="s">
        <v>22</v>
      </c>
      <c r="C8" s="3" t="s">
        <v>488</v>
      </c>
      <c r="D8" s="3" t="s">
        <v>489</v>
      </c>
      <c r="E8" s="8" t="s">
        <v>62</v>
      </c>
      <c r="F8" s="8" t="s">
        <v>62</v>
      </c>
      <c r="G8" s="3"/>
    </row>
    <row r="9" spans="1:7" ht="33.75" customHeight="1" x14ac:dyDescent="0.25">
      <c r="A9" s="3" t="s">
        <v>490</v>
      </c>
      <c r="B9" s="3" t="s">
        <v>28</v>
      </c>
      <c r="C9" s="3" t="s">
        <v>491</v>
      </c>
      <c r="D9" s="3" t="s">
        <v>492</v>
      </c>
      <c r="E9" s="8" t="s">
        <v>62</v>
      </c>
      <c r="F9" s="8" t="s">
        <v>62</v>
      </c>
      <c r="G9" s="3"/>
    </row>
    <row r="10" spans="1:7" ht="33.75" customHeight="1" x14ac:dyDescent="0.25">
      <c r="A10" s="3" t="s">
        <v>493</v>
      </c>
      <c r="B10" s="3" t="s">
        <v>31</v>
      </c>
      <c r="C10" s="3" t="s">
        <v>494</v>
      </c>
      <c r="D10" s="3" t="s">
        <v>495</v>
      </c>
      <c r="E10" s="8" t="s">
        <v>62</v>
      </c>
      <c r="F10" s="8" t="s">
        <v>62</v>
      </c>
      <c r="G10" s="3"/>
    </row>
    <row r="11" spans="1:7" ht="33.75" customHeight="1" x14ac:dyDescent="0.25">
      <c r="A11" s="3" t="s">
        <v>496</v>
      </c>
      <c r="B11" s="3" t="s">
        <v>33</v>
      </c>
      <c r="C11" s="3" t="s">
        <v>497</v>
      </c>
      <c r="D11" s="3" t="s">
        <v>498</v>
      </c>
      <c r="E11" s="8" t="s">
        <v>62</v>
      </c>
      <c r="F11" s="8" t="s">
        <v>62</v>
      </c>
      <c r="G11" s="3"/>
    </row>
    <row r="12" spans="1:7" ht="33.75" customHeight="1" x14ac:dyDescent="0.25">
      <c r="A12" s="3" t="s">
        <v>499</v>
      </c>
      <c r="B12" s="3" t="s">
        <v>35</v>
      </c>
      <c r="C12" s="3" t="s">
        <v>500</v>
      </c>
      <c r="D12" s="3" t="s">
        <v>501</v>
      </c>
      <c r="E12" s="8" t="s">
        <v>62</v>
      </c>
      <c r="F12" s="8" t="s">
        <v>62</v>
      </c>
      <c r="G12" s="3"/>
    </row>
    <row r="13" spans="1:7" ht="33.75" customHeight="1" x14ac:dyDescent="0.25">
      <c r="A13" s="3" t="s">
        <v>502</v>
      </c>
      <c r="B13" s="3" t="s">
        <v>37</v>
      </c>
      <c r="C13" s="3" t="s">
        <v>503</v>
      </c>
      <c r="D13" s="3" t="s">
        <v>504</v>
      </c>
      <c r="E13" s="8" t="s">
        <v>62</v>
      </c>
      <c r="F13" s="8" t="s">
        <v>62</v>
      </c>
      <c r="G13" s="3"/>
    </row>
    <row r="14" spans="1:7" ht="33.75" customHeight="1" x14ac:dyDescent="0.25">
      <c r="A14" s="3" t="s">
        <v>505</v>
      </c>
      <c r="B14" s="3" t="s">
        <v>39</v>
      </c>
      <c r="C14" s="3" t="s">
        <v>506</v>
      </c>
      <c r="D14" s="3" t="s">
        <v>507</v>
      </c>
      <c r="E14" s="8" t="s">
        <v>62</v>
      </c>
      <c r="F14" s="8" t="s">
        <v>62</v>
      </c>
      <c r="G14" s="3"/>
    </row>
    <row r="15" spans="1:7" ht="33.75" customHeight="1" x14ac:dyDescent="0.25">
      <c r="A15" s="3" t="s">
        <v>508</v>
      </c>
      <c r="B15" s="3" t="s">
        <v>509</v>
      </c>
      <c r="C15" s="3" t="s">
        <v>510</v>
      </c>
      <c r="D15" s="3" t="s">
        <v>511</v>
      </c>
      <c r="E15" s="8" t="s">
        <v>62</v>
      </c>
      <c r="F15" s="8" t="s">
        <v>62</v>
      </c>
      <c r="G15" s="3"/>
    </row>
    <row r="16" spans="1:7" ht="33.75" customHeight="1" x14ac:dyDescent="0.25">
      <c r="A16" s="3" t="s">
        <v>512</v>
      </c>
      <c r="B16" s="3" t="s">
        <v>509</v>
      </c>
      <c r="C16" s="3" t="s">
        <v>513</v>
      </c>
      <c r="D16" s="3" t="s">
        <v>514</v>
      </c>
      <c r="E16" s="8" t="s">
        <v>62</v>
      </c>
      <c r="F16" s="8" t="s">
        <v>62</v>
      </c>
      <c r="G16" s="3"/>
    </row>
    <row r="17" spans="1:7" ht="30" x14ac:dyDescent="0.25">
      <c r="A17" s="3" t="s">
        <v>515</v>
      </c>
      <c r="B17" s="3" t="s">
        <v>332</v>
      </c>
      <c r="C17" s="3" t="s">
        <v>516</v>
      </c>
      <c r="D17" s="3" t="s">
        <v>517</v>
      </c>
      <c r="E17" s="8" t="s">
        <v>62</v>
      </c>
      <c r="F17" s="8" t="s">
        <v>62</v>
      </c>
      <c r="G17" s="3"/>
    </row>
    <row r="18" spans="1:7" ht="30" x14ac:dyDescent="0.25">
      <c r="A18" s="3" t="s">
        <v>518</v>
      </c>
      <c r="B18" s="3" t="s">
        <v>519</v>
      </c>
      <c r="C18" s="3" t="s">
        <v>520</v>
      </c>
      <c r="D18" s="3" t="s">
        <v>521</v>
      </c>
      <c r="E18" s="8" t="s">
        <v>62</v>
      </c>
      <c r="F18" s="8" t="s">
        <v>62</v>
      </c>
      <c r="G18" s="3"/>
    </row>
    <row r="19" spans="1:7" ht="30" x14ac:dyDescent="0.25">
      <c r="A19" s="3" t="s">
        <v>522</v>
      </c>
      <c r="B19" s="3" t="s">
        <v>35</v>
      </c>
      <c r="C19" s="3" t="s">
        <v>523</v>
      </c>
      <c r="D19" s="3" t="s">
        <v>524</v>
      </c>
      <c r="E19" s="8" t="s">
        <v>62</v>
      </c>
      <c r="F19" s="8" t="s">
        <v>62</v>
      </c>
      <c r="G19" s="3"/>
    </row>
    <row r="20" spans="1:7" ht="30" x14ac:dyDescent="0.25">
      <c r="A20" s="3" t="s">
        <v>525</v>
      </c>
      <c r="B20" s="3" t="s">
        <v>28</v>
      </c>
      <c r="C20" s="3" t="s">
        <v>526</v>
      </c>
      <c r="D20" s="3" t="s">
        <v>527</v>
      </c>
      <c r="E20" s="8" t="s">
        <v>62</v>
      </c>
      <c r="F20" s="8" t="s">
        <v>62</v>
      </c>
      <c r="G20" s="3"/>
    </row>
    <row r="21" spans="1:7" ht="30" x14ac:dyDescent="0.25">
      <c r="A21" s="3" t="s">
        <v>528</v>
      </c>
      <c r="B21" s="3" t="s">
        <v>39</v>
      </c>
      <c r="C21" s="3" t="s">
        <v>529</v>
      </c>
      <c r="D21" s="3" t="s">
        <v>530</v>
      </c>
      <c r="E21" s="8" t="s">
        <v>62</v>
      </c>
      <c r="F21" s="8" t="s">
        <v>62</v>
      </c>
      <c r="G21" s="3"/>
    </row>
  </sheetData>
  <conditionalFormatting sqref="E2:F16">
    <cfRule type="expression" dxfId="15" priority="10">
      <formula>EXACT(E2,"Sikeres")</formula>
    </cfRule>
    <cfRule type="expression" dxfId="14" priority="11">
      <formula>EXACT(E2,"Hibás")</formula>
    </cfRule>
    <cfRule type="expression" dxfId="13" priority="12">
      <formula>EXACT(E2,"Folyamatban")</formula>
    </cfRule>
    <cfRule type="expression" dxfId="12" priority="13">
      <formula>EXACT(E2,"Blokkolt")</formula>
    </cfRule>
  </conditionalFormatting>
  <conditionalFormatting sqref="E17:F21">
    <cfRule type="expression" dxfId="11" priority="1">
      <formula>EXACT(E17,"Sikeres")</formula>
    </cfRule>
    <cfRule type="expression" dxfId="10" priority="2">
      <formula>EXACT(E17,"Hibás")</formula>
    </cfRule>
    <cfRule type="expression" dxfId="9" priority="3">
      <formula>EXACT(E17,"Folyamatban")</formula>
    </cfRule>
    <cfRule type="expression" dxfId="8" priority="4">
      <formula>EXACT(E17,"Blokkolt")</formula>
    </cfRule>
  </conditionalFormatting>
  <dataValidations count="1">
    <dataValidation type="list" allowBlank="1" sqref="E2:F21" xr:uid="{00000000-0002-0000-0200-000000000000}">
      <formula1>"Tervezett,Folyamatban,Sikeres,Hibás,Blokkolt,Nem releváns"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A7A0"/>
  </sheetPr>
  <dimension ref="A1:H19"/>
  <sheetViews>
    <sheetView showGridLines="0" topLeftCell="A10" zoomScaleNormal="100" workbookViewId="0">
      <selection activeCell="E34" sqref="E34"/>
    </sheetView>
  </sheetViews>
  <sheetFormatPr defaultColWidth="8.7109375" defaultRowHeight="15" customHeight="1" x14ac:dyDescent="0.25"/>
  <cols>
    <col min="1" max="1" width="10" style="1" customWidth="1"/>
    <col min="2" max="2" width="18" style="1" customWidth="1"/>
    <col min="3" max="3" width="24" style="1" customWidth="1"/>
    <col min="4" max="4" width="20" style="1" customWidth="1"/>
    <col min="5" max="5" width="34" style="1" customWidth="1"/>
    <col min="6" max="7" width="12" style="1" customWidth="1"/>
    <col min="8" max="8" width="16" style="1" customWidth="1"/>
  </cols>
  <sheetData>
    <row r="1" spans="1:8" x14ac:dyDescent="0.25">
      <c r="A1" s="4" t="s">
        <v>531</v>
      </c>
      <c r="B1" s="4" t="s">
        <v>532</v>
      </c>
      <c r="C1" s="4" t="s">
        <v>45</v>
      </c>
      <c r="D1" s="4" t="s">
        <v>533</v>
      </c>
      <c r="E1" s="4" t="s">
        <v>53</v>
      </c>
      <c r="F1" s="4" t="s">
        <v>52</v>
      </c>
      <c r="G1" s="4" t="s">
        <v>51</v>
      </c>
      <c r="H1" s="4" t="s">
        <v>534</v>
      </c>
    </row>
    <row r="2" spans="1:8" ht="31.5" customHeight="1" x14ac:dyDescent="0.25">
      <c r="A2" s="3" t="s">
        <v>535</v>
      </c>
      <c r="B2" s="3" t="s">
        <v>536</v>
      </c>
      <c r="C2" s="3" t="s">
        <v>10</v>
      </c>
      <c r="D2" s="23" t="s">
        <v>537</v>
      </c>
      <c r="E2" s="3" t="s">
        <v>538</v>
      </c>
      <c r="F2" s="8" t="s">
        <v>62</v>
      </c>
      <c r="G2" s="8" t="s">
        <v>62</v>
      </c>
      <c r="H2" s="3"/>
    </row>
    <row r="3" spans="1:8" ht="31.5" customHeight="1" x14ac:dyDescent="0.25">
      <c r="A3" s="3" t="s">
        <v>539</v>
      </c>
      <c r="B3" s="3" t="s">
        <v>536</v>
      </c>
      <c r="C3" s="3" t="s">
        <v>19</v>
      </c>
      <c r="D3" s="23" t="s">
        <v>540</v>
      </c>
      <c r="E3" s="3" t="s">
        <v>541</v>
      </c>
      <c r="F3" s="8" t="s">
        <v>62</v>
      </c>
      <c r="G3" s="8" t="s">
        <v>62</v>
      </c>
      <c r="H3" s="3"/>
    </row>
    <row r="4" spans="1:8" ht="31.5" customHeight="1" x14ac:dyDescent="0.25">
      <c r="A4" s="3" t="s">
        <v>542</v>
      </c>
      <c r="B4" s="3" t="s">
        <v>536</v>
      </c>
      <c r="C4" s="3" t="s">
        <v>31</v>
      </c>
      <c r="D4" s="23" t="s">
        <v>540</v>
      </c>
      <c r="E4" s="3" t="s">
        <v>543</v>
      </c>
      <c r="F4" s="8" t="s">
        <v>62</v>
      </c>
      <c r="G4" s="8" t="s">
        <v>62</v>
      </c>
      <c r="H4" s="3"/>
    </row>
    <row r="5" spans="1:8" ht="31.5" customHeight="1" x14ac:dyDescent="0.25">
      <c r="A5" s="3" t="s">
        <v>544</v>
      </c>
      <c r="B5" s="3" t="s">
        <v>536</v>
      </c>
      <c r="C5" s="3" t="s">
        <v>25</v>
      </c>
      <c r="D5" s="24" t="s">
        <v>545</v>
      </c>
      <c r="E5" s="3" t="s">
        <v>546</v>
      </c>
      <c r="F5" s="8" t="s">
        <v>62</v>
      </c>
      <c r="G5" s="8" t="s">
        <v>62</v>
      </c>
      <c r="H5" s="3"/>
    </row>
    <row r="6" spans="1:8" ht="31.5" customHeight="1" x14ac:dyDescent="0.25">
      <c r="A6" s="3" t="s">
        <v>547</v>
      </c>
      <c r="B6" s="3" t="s">
        <v>536</v>
      </c>
      <c r="C6" s="3" t="s">
        <v>28</v>
      </c>
      <c r="D6" s="24" t="s">
        <v>545</v>
      </c>
      <c r="E6" s="3" t="s">
        <v>548</v>
      </c>
      <c r="F6" s="8" t="s">
        <v>62</v>
      </c>
      <c r="G6" s="8" t="s">
        <v>62</v>
      </c>
      <c r="H6" s="3"/>
    </row>
    <row r="7" spans="1:8" ht="31.5" customHeight="1" x14ac:dyDescent="0.25">
      <c r="A7" s="3" t="s">
        <v>549</v>
      </c>
      <c r="B7" s="3" t="s">
        <v>536</v>
      </c>
      <c r="C7" s="3" t="s">
        <v>35</v>
      </c>
      <c r="D7" s="24" t="s">
        <v>545</v>
      </c>
      <c r="E7" s="3" t="s">
        <v>550</v>
      </c>
      <c r="F7" s="8" t="s">
        <v>62</v>
      </c>
      <c r="G7" s="8" t="s">
        <v>62</v>
      </c>
      <c r="H7" s="3"/>
    </row>
    <row r="8" spans="1:8" ht="31.5" customHeight="1" x14ac:dyDescent="0.25">
      <c r="A8" s="3" t="s">
        <v>551</v>
      </c>
      <c r="B8" s="3" t="s">
        <v>536</v>
      </c>
      <c r="C8" s="3" t="s">
        <v>39</v>
      </c>
      <c r="D8" s="24" t="s">
        <v>545</v>
      </c>
      <c r="E8" s="3" t="s">
        <v>552</v>
      </c>
      <c r="F8" s="8" t="s">
        <v>62</v>
      </c>
      <c r="G8" s="8" t="s">
        <v>62</v>
      </c>
      <c r="H8" s="3"/>
    </row>
    <row r="9" spans="1:8" ht="31.5" customHeight="1" x14ac:dyDescent="0.25">
      <c r="A9" s="3" t="s">
        <v>553</v>
      </c>
      <c r="B9" s="3" t="s">
        <v>554</v>
      </c>
      <c r="C9" s="3" t="s">
        <v>22</v>
      </c>
      <c r="D9" s="23" t="s">
        <v>537</v>
      </c>
      <c r="E9" s="3" t="s">
        <v>555</v>
      </c>
      <c r="F9" s="8" t="s">
        <v>62</v>
      </c>
      <c r="G9" s="8" t="s">
        <v>62</v>
      </c>
      <c r="H9" s="3"/>
    </row>
    <row r="10" spans="1:8" ht="31.5" customHeight="1" x14ac:dyDescent="0.25">
      <c r="A10" s="3" t="s">
        <v>556</v>
      </c>
      <c r="B10" s="3" t="s">
        <v>554</v>
      </c>
      <c r="C10" s="3" t="s">
        <v>25</v>
      </c>
      <c r="D10" s="23" t="s">
        <v>557</v>
      </c>
      <c r="E10" s="3" t="s">
        <v>558</v>
      </c>
      <c r="F10" s="8" t="s">
        <v>62</v>
      </c>
      <c r="G10" s="8" t="s">
        <v>62</v>
      </c>
      <c r="H10" s="3"/>
    </row>
    <row r="11" spans="1:8" ht="31.5" customHeight="1" x14ac:dyDescent="0.25">
      <c r="A11" s="3" t="s">
        <v>559</v>
      </c>
      <c r="B11" s="3" t="s">
        <v>554</v>
      </c>
      <c r="C11" s="3" t="s">
        <v>28</v>
      </c>
      <c r="D11" s="23" t="s">
        <v>537</v>
      </c>
      <c r="E11" s="3" t="s">
        <v>560</v>
      </c>
      <c r="F11" s="8" t="s">
        <v>62</v>
      </c>
      <c r="G11" s="8" t="s">
        <v>62</v>
      </c>
      <c r="H11" s="3"/>
    </row>
    <row r="12" spans="1:8" ht="31.5" customHeight="1" x14ac:dyDescent="0.25">
      <c r="A12" s="3" t="s">
        <v>561</v>
      </c>
      <c r="B12" s="3" t="s">
        <v>554</v>
      </c>
      <c r="C12" s="3" t="s">
        <v>562</v>
      </c>
      <c r="D12" s="23" t="s">
        <v>537</v>
      </c>
      <c r="E12" s="3" t="s">
        <v>563</v>
      </c>
      <c r="F12" s="8" t="s">
        <v>62</v>
      </c>
      <c r="G12" s="8" t="s">
        <v>62</v>
      </c>
      <c r="H12" s="3"/>
    </row>
    <row r="13" spans="1:8" ht="31.5" customHeight="1" x14ac:dyDescent="0.25">
      <c r="A13" s="3" t="s">
        <v>564</v>
      </c>
      <c r="B13" s="3" t="s">
        <v>554</v>
      </c>
      <c r="C13" s="3" t="s">
        <v>39</v>
      </c>
      <c r="D13" s="24" t="s">
        <v>545</v>
      </c>
      <c r="E13" s="3" t="s">
        <v>565</v>
      </c>
      <c r="F13" s="8" t="s">
        <v>62</v>
      </c>
      <c r="G13" s="8" t="s">
        <v>62</v>
      </c>
      <c r="H13" s="3"/>
    </row>
    <row r="14" spans="1:8" ht="31.5" customHeight="1" x14ac:dyDescent="0.25">
      <c r="A14" s="3" t="s">
        <v>566</v>
      </c>
      <c r="B14" s="3" t="s">
        <v>39</v>
      </c>
      <c r="C14" s="3" t="s">
        <v>567</v>
      </c>
      <c r="D14" s="23" t="s">
        <v>537</v>
      </c>
      <c r="E14" s="3" t="s">
        <v>568</v>
      </c>
      <c r="F14" s="8" t="s">
        <v>62</v>
      </c>
      <c r="G14" s="8" t="s">
        <v>62</v>
      </c>
      <c r="H14" s="3"/>
    </row>
    <row r="15" spans="1:8" ht="45" x14ac:dyDescent="0.25">
      <c r="A15" s="3" t="s">
        <v>569</v>
      </c>
      <c r="B15" s="3" t="s">
        <v>536</v>
      </c>
      <c r="C15" s="3" t="s">
        <v>570</v>
      </c>
      <c r="D15" s="23" t="s">
        <v>545</v>
      </c>
      <c r="E15" s="3" t="s">
        <v>571</v>
      </c>
      <c r="F15" s="8" t="s">
        <v>62</v>
      </c>
      <c r="G15" s="8" t="s">
        <v>62</v>
      </c>
      <c r="H15" s="3"/>
    </row>
    <row r="16" spans="1:8" ht="45" x14ac:dyDescent="0.25">
      <c r="A16" s="3" t="s">
        <v>572</v>
      </c>
      <c r="B16" s="3" t="s">
        <v>536</v>
      </c>
      <c r="C16" s="3" t="s">
        <v>33</v>
      </c>
      <c r="D16" s="24" t="s">
        <v>545</v>
      </c>
      <c r="E16" s="3" t="s">
        <v>573</v>
      </c>
      <c r="F16" s="8" t="s">
        <v>62</v>
      </c>
      <c r="G16" s="8" t="s">
        <v>62</v>
      </c>
      <c r="H16" s="3"/>
    </row>
    <row r="17" spans="1:8" ht="45" x14ac:dyDescent="0.25">
      <c r="A17" s="3" t="s">
        <v>574</v>
      </c>
      <c r="B17" s="3" t="s">
        <v>536</v>
      </c>
      <c r="C17" s="3" t="s">
        <v>22</v>
      </c>
      <c r="D17" s="23" t="s">
        <v>545</v>
      </c>
      <c r="E17" s="3" t="s">
        <v>575</v>
      </c>
      <c r="F17" s="8" t="s">
        <v>62</v>
      </c>
      <c r="G17" s="8" t="s">
        <v>62</v>
      </c>
      <c r="H17" s="3"/>
    </row>
    <row r="18" spans="1:8" ht="30" x14ac:dyDescent="0.25">
      <c r="A18" s="3" t="s">
        <v>576</v>
      </c>
      <c r="B18" s="3" t="s">
        <v>554</v>
      </c>
      <c r="C18" s="3" t="s">
        <v>570</v>
      </c>
      <c r="D18" s="23" t="s">
        <v>537</v>
      </c>
      <c r="E18" s="3" t="s">
        <v>577</v>
      </c>
      <c r="F18" s="8" t="s">
        <v>62</v>
      </c>
      <c r="G18" s="8" t="s">
        <v>62</v>
      </c>
      <c r="H18" s="3"/>
    </row>
    <row r="19" spans="1:8" ht="30" x14ac:dyDescent="0.25">
      <c r="A19" s="3" t="s">
        <v>578</v>
      </c>
      <c r="B19" s="3" t="s">
        <v>554</v>
      </c>
      <c r="C19" s="3" t="s">
        <v>579</v>
      </c>
      <c r="D19" s="24" t="s">
        <v>537</v>
      </c>
      <c r="E19" s="3" t="s">
        <v>580</v>
      </c>
      <c r="F19" s="8" t="s">
        <v>62</v>
      </c>
      <c r="G19" s="8" t="s">
        <v>62</v>
      </c>
      <c r="H19" s="3"/>
    </row>
  </sheetData>
  <conditionalFormatting sqref="F2:G14">
    <cfRule type="expression" dxfId="7" priority="10">
      <formula>EXACT(F2,"Sikeres")</formula>
    </cfRule>
    <cfRule type="expression" dxfId="6" priority="11">
      <formula>EXACT(F2,"Hibás")</formula>
    </cfRule>
    <cfRule type="expression" dxfId="5" priority="12">
      <formula>EXACT(F2,"Folyamatban")</formula>
    </cfRule>
    <cfRule type="expression" dxfId="4" priority="13">
      <formula>EXACT(F2,"Blokkolt")</formula>
    </cfRule>
  </conditionalFormatting>
  <conditionalFormatting sqref="F15:G19">
    <cfRule type="expression" dxfId="3" priority="1">
      <formula>EXACT(F15,"Sikeres")</formula>
    </cfRule>
    <cfRule type="expression" dxfId="2" priority="2">
      <formula>EXACT(F15,"Hibás")</formula>
    </cfRule>
    <cfRule type="expression" dxfId="1" priority="3">
      <formula>EXACT(F15,"Folyamatban")</formula>
    </cfRule>
    <cfRule type="expression" dxfId="0" priority="4">
      <formula>EXACT(F15,"Blokkolt")</formula>
    </cfRule>
  </conditionalFormatting>
  <dataValidations count="1">
    <dataValidation type="list" allowBlank="1" sqref="F2:G19" xr:uid="{00000000-0002-0000-0300-000000000000}">
      <formula1>"Tervezett,Folyamatban,Sikeres,Hibás,Blokkolt,Nem releváns"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58C28"/>
  </sheetPr>
  <dimension ref="A1:C17"/>
  <sheetViews>
    <sheetView showGridLines="0" zoomScaleNormal="100" workbookViewId="0">
      <selection activeCell="A15" sqref="A15:C17"/>
    </sheetView>
  </sheetViews>
  <sheetFormatPr defaultColWidth="8.7109375" defaultRowHeight="15" customHeight="1" x14ac:dyDescent="0.25"/>
  <cols>
    <col min="1" max="1" width="24" style="1" customWidth="1"/>
    <col min="2" max="2" width="50" style="1" customWidth="1"/>
    <col min="3" max="3" width="18" style="1" customWidth="1"/>
  </cols>
  <sheetData>
    <row r="1" spans="1:3" ht="30.75" customHeight="1" x14ac:dyDescent="0.25">
      <c r="A1" s="4" t="s">
        <v>44</v>
      </c>
      <c r="B1" s="4" t="s">
        <v>581</v>
      </c>
      <c r="C1" s="4" t="s">
        <v>582</v>
      </c>
    </row>
    <row r="2" spans="1:3" x14ac:dyDescent="0.25">
      <c r="A2" s="3" t="s">
        <v>10</v>
      </c>
      <c r="B2" s="3" t="s">
        <v>11</v>
      </c>
      <c r="C2" s="3">
        <f>COUNTIF(Tesztesetek!B:B,A2)</f>
        <v>7</v>
      </c>
    </row>
    <row r="3" spans="1:3" x14ac:dyDescent="0.25">
      <c r="A3" s="3" t="s">
        <v>13</v>
      </c>
      <c r="B3" s="3" t="s">
        <v>14</v>
      </c>
      <c r="C3" s="3">
        <f>COUNTIF(Tesztesetek!B:B,A3)</f>
        <v>8</v>
      </c>
    </row>
    <row r="4" spans="1:3" x14ac:dyDescent="0.25">
      <c r="A4" s="3" t="s">
        <v>16</v>
      </c>
      <c r="B4" s="3" t="s">
        <v>17</v>
      </c>
      <c r="C4" s="3">
        <f>COUNTIF(Tesztesetek!B:B,A4)</f>
        <v>5</v>
      </c>
    </row>
    <row r="5" spans="1:3" x14ac:dyDescent="0.25">
      <c r="A5" s="3" t="s">
        <v>19</v>
      </c>
      <c r="B5" s="3" t="s">
        <v>20</v>
      </c>
      <c r="C5" s="3">
        <f>COUNTIF(Tesztesetek!B:B,A5)</f>
        <v>10</v>
      </c>
    </row>
    <row r="6" spans="1:3" x14ac:dyDescent="0.25">
      <c r="A6" s="3" t="s">
        <v>22</v>
      </c>
      <c r="B6" s="3" t="s">
        <v>23</v>
      </c>
      <c r="C6" s="3">
        <f>COUNTIF(Tesztesetek!B:B,A6)</f>
        <v>5</v>
      </c>
    </row>
    <row r="7" spans="1:3" x14ac:dyDescent="0.25">
      <c r="A7" s="3" t="s">
        <v>25</v>
      </c>
      <c r="B7" s="3" t="s">
        <v>26</v>
      </c>
      <c r="C7" s="3">
        <f>COUNTIF(Tesztesetek!B:B,A7)</f>
        <v>6</v>
      </c>
    </row>
    <row r="8" spans="1:3" x14ac:dyDescent="0.25">
      <c r="A8" s="3" t="s">
        <v>28</v>
      </c>
      <c r="B8" s="3" t="s">
        <v>29</v>
      </c>
      <c r="C8" s="3">
        <f>COUNTIF(Tesztesetek!B:B,A8)</f>
        <v>3</v>
      </c>
    </row>
    <row r="9" spans="1:3" x14ac:dyDescent="0.25">
      <c r="A9" s="3" t="s">
        <v>31</v>
      </c>
      <c r="B9" s="3" t="s">
        <v>32</v>
      </c>
      <c r="C9" s="3">
        <f>COUNTIF(Tesztesetek!B:B,A9)</f>
        <v>7</v>
      </c>
    </row>
    <row r="10" spans="1:3" ht="30.75" customHeight="1" x14ac:dyDescent="0.25">
      <c r="A10" s="3" t="s">
        <v>33</v>
      </c>
      <c r="B10" s="3" t="s">
        <v>34</v>
      </c>
      <c r="C10" s="3">
        <f>COUNTIF(Tesztesetek!B:B,A10)</f>
        <v>7</v>
      </c>
    </row>
    <row r="11" spans="1:3" x14ac:dyDescent="0.25">
      <c r="A11" s="3" t="s">
        <v>35</v>
      </c>
      <c r="B11" s="3" t="s">
        <v>36</v>
      </c>
      <c r="C11" s="3">
        <f>COUNTIF(Tesztesetek!B:B,A11)</f>
        <v>9</v>
      </c>
    </row>
    <row r="12" spans="1:3" x14ac:dyDescent="0.25">
      <c r="A12" s="3" t="s">
        <v>37</v>
      </c>
      <c r="B12" s="3" t="s">
        <v>38</v>
      </c>
      <c r="C12" s="3">
        <f>COUNTIF(Tesztesetek!B:B,A12)</f>
        <v>3</v>
      </c>
    </row>
    <row r="13" spans="1:3" x14ac:dyDescent="0.25">
      <c r="A13" s="3" t="s">
        <v>39</v>
      </c>
      <c r="B13" s="3" t="s">
        <v>40</v>
      </c>
      <c r="C13" s="3">
        <f>COUNTIF(Tesztesetek!B:B,A13)</f>
        <v>10</v>
      </c>
    </row>
    <row r="14" spans="1:3" x14ac:dyDescent="0.25">
      <c r="A14" s="3" t="s">
        <v>41</v>
      </c>
      <c r="B14" s="3" t="s">
        <v>42</v>
      </c>
      <c r="C14" s="3">
        <f>COUNTIF(Tesztesetek!B:B,A14)</f>
        <v>4</v>
      </c>
    </row>
    <row r="15" spans="1:3" x14ac:dyDescent="0.25">
      <c r="A15" s="3" t="s">
        <v>332</v>
      </c>
      <c r="B15" s="3" t="s">
        <v>583</v>
      </c>
      <c r="C15" s="3">
        <f>COUNTIF(Tesztesetek!B:B,A15)</f>
        <v>4</v>
      </c>
    </row>
    <row r="16" spans="1:3" x14ac:dyDescent="0.25">
      <c r="A16" s="3" t="s">
        <v>416</v>
      </c>
      <c r="B16" s="3" t="s">
        <v>584</v>
      </c>
      <c r="C16" s="3">
        <f>COUNTIF(Tesztesetek!B:B,A16)</f>
        <v>1</v>
      </c>
    </row>
    <row r="17" spans="1:3" x14ac:dyDescent="0.25">
      <c r="A17" s="3" t="s">
        <v>326</v>
      </c>
      <c r="B17" s="3" t="s">
        <v>585</v>
      </c>
      <c r="C17" s="3">
        <f>COUNTIF(Tesztesetek!B:B,A17)</f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Attekintes</vt:lpstr>
      <vt:lpstr>Tesztesetek</vt:lpstr>
      <vt:lpstr>UI_ellenorzes</vt:lpstr>
      <vt:lpstr>Jogosultsagok</vt:lpstr>
      <vt:lpstr>Funkcio_matrix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Klencsak Attila</cp:lastModifiedBy>
  <cp:revision>0</cp:revision>
  <dcterms:created xsi:type="dcterms:W3CDTF">2026-03-12T10:42:06Z</dcterms:created>
  <dcterms:modified xsi:type="dcterms:W3CDTF">2026-03-19T13:14:54Z</dcterms:modified>
  <dc:language>en-US</dc:language>
</cp:coreProperties>
</file>